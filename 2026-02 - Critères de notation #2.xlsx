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e/Downloads/"/>
    </mc:Choice>
  </mc:AlternateContent>
  <xr:revisionPtr revIDLastSave="0" documentId="13_ncr:1_{49CEE070-6EC4-8C4F-9FCB-BFE9D34E87F2}" xr6:coauthVersionLast="47" xr6:coauthVersionMax="47" xr10:uidLastSave="{00000000-0000-0000-0000-000000000000}"/>
  <bookViews>
    <workbookView xWindow="0" yWindow="760" windowWidth="30240" windowHeight="18880" xr2:uid="{1ABCBA22-2998-449F-B8BC-36BF598932E7}"/>
  </bookViews>
  <sheets>
    <sheet name="Feuil1" sheetId="1" r:id="rId1"/>
    <sheet name="Feuil3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S8" i="1"/>
  <c r="R8" i="1"/>
  <c r="Q8" i="1"/>
  <c r="P8" i="1"/>
  <c r="O8" i="1"/>
</calcChain>
</file>

<file path=xl/sharedStrings.xml><?xml version="1.0" encoding="utf-8"?>
<sst xmlns="http://schemas.openxmlformats.org/spreadsheetml/2006/main" count="671" uniqueCount="379">
  <si>
    <t>Avant la consultation</t>
  </si>
  <si>
    <t>Chère consœur, cher confrère,</t>
  </si>
  <si>
    <t>Pour faciliter le recueil de votre satisfaction concernant les différentes facettes de votre Logiciel Métier / Logiciel de Gestion de Cabinet (LM/LGC), nous vous proposons tout simplement… de nous raconter votre journée !</t>
  </si>
  <si>
    <t>Pendant la consultation</t>
  </si>
  <si>
    <t>Comment évalueriez-vous 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</si>
  <si>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Aptos"/>
        <family val="2"/>
      </rPr>
      <t>La facilité de signer numériquement cette ordonnance ?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</si>
  <si>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Aptos"/>
        <family val="2"/>
      </rPr>
      <t>L’envoi dans le DMP/ENS du patient ?</t>
    </r>
  </si>
  <si>
    <t>Vous souhaitez demander un avis complémentaire. Comment évalueriez-vous :</t>
  </si>
  <si>
    <t>Après la consultation</t>
  </si>
  <si>
    <t>C’est la fin de la journée de consultations, mais ce n’est pas tout à fait terminé pour autant !</t>
  </si>
  <si>
    <t>Dossier patient</t>
  </si>
  <si>
    <t>Interconnexion avec le DMP</t>
  </si>
  <si>
    <t>Visualisation des résultats biologiques</t>
  </si>
  <si>
    <t xml:space="preserve">Dictée vocale </t>
  </si>
  <si>
    <t xml:space="preserve">Pratique </t>
  </si>
  <si>
    <t>Pratiques commerciales</t>
  </si>
  <si>
    <t>L'accessibilité de son SAV + la qualité des réponses du SAV</t>
  </si>
  <si>
    <t>L'écoute et l'intégration de vos besoins professionnels</t>
  </si>
  <si>
    <t>Sauvegarde</t>
  </si>
  <si>
    <t>Hébergement</t>
  </si>
  <si>
    <t>Module de Télétransmission</t>
  </si>
  <si>
    <t>Téléservices de l'Assurance-Maladie</t>
  </si>
  <si>
    <t>Module de Comptabilité</t>
  </si>
  <si>
    <t xml:space="preserve">Messagerie interne </t>
  </si>
  <si>
    <t>Interopérabilité</t>
  </si>
  <si>
    <t>Usage en mobilité</t>
  </si>
  <si>
    <t>Intégration d'une messagerie sécurisée</t>
  </si>
  <si>
    <t>Gestion des droits d'accès</t>
  </si>
  <si>
    <t>Modèles de prescription</t>
  </si>
  <si>
    <t>LDAP</t>
  </si>
  <si>
    <t>Prescription de médicaments</t>
  </si>
  <si>
    <t>Prescription autres</t>
  </si>
  <si>
    <t>Gestion des courriers - édition</t>
  </si>
  <si>
    <t>Carnet d'adresses</t>
  </si>
  <si>
    <t>--&gt;</t>
  </si>
  <si>
    <t>INTERFACE</t>
  </si>
  <si>
    <t>FIABILITE</t>
  </si>
  <si>
    <t xml:space="preserve">Critère Majeur </t>
  </si>
  <si>
    <t>Items qui sautent :</t>
  </si>
  <si>
    <t xml:space="preserve">Intégration d'un agenda natif / externe </t>
  </si>
  <si>
    <t>Moteur de recherche interne multi-critères</t>
  </si>
  <si>
    <t>Modèles de consultation &amp; saisie de données structurées</t>
  </si>
  <si>
    <t>Base de documents</t>
  </si>
  <si>
    <t xml:space="preserve">Gestion des courriers (réception) </t>
  </si>
  <si>
    <t>Transparence</t>
  </si>
  <si>
    <t>Intuitif</t>
  </si>
  <si>
    <t>Réactif</t>
  </si>
  <si>
    <t>FONCTIONNALITES</t>
  </si>
  <si>
    <t>EDITEUR</t>
  </si>
  <si>
    <t xml:space="preserve">Nécessité d'arbitrage suspectée </t>
  </si>
  <si>
    <t>Commentaires</t>
  </si>
  <si>
    <t>Julien</t>
  </si>
  <si>
    <t>Pierre</t>
  </si>
  <si>
    <t>Thomas</t>
  </si>
  <si>
    <t>David</t>
  </si>
  <si>
    <t>Quand vous arrivez le matin (ou plus tard) au cabinet :</t>
  </si>
  <si>
    <t>·       Est-ce que la connexion à votre logiciel est facile ?</t>
  </si>
  <si>
    <t>·       Si votre agenda est intégré ou interfacé à votre logiciel, trouvez-vous cela pratique et bien fait ?</t>
  </si>
  <si>
    <t>·       Est-ce que vous diriez qu'il est rapide, "réactif" ?</t>
  </si>
  <si>
    <t>·       Est-ce que vous jugez son interface lisible et visuellement agréable de façon générale ?</t>
  </si>
  <si>
    <t xml:space="preserve">Un nouveau patient arrive, c’est le beau-frère de la nièce d’une patiente connue de longue date, vous avez donc accepté, bien sûr. </t>
  </si>
  <si>
    <t>Comment évaluez-vous la création d'un nouveau dossier patient, avec :</t>
  </si>
  <si>
    <t>·       Qualification de l’INS (Identifiant National de Santé) ?</t>
  </si>
  <si>
    <t>·       La création de nouveaux antécédents au sein de votre logiciel ?</t>
  </si>
  <si>
    <t>·       La numérisation et/ou le classement des documents (courriers, résultats…) au bon endroit ?</t>
  </si>
  <si>
    <t>Vous l’avez évidemment interrogé, observé, examiné. Comment jugez-vous :</t>
  </si>
  <si>
    <t>·       La facilité d’intégration de vos éventuels examens complémentaires en consultation ? (ECG, audiométrie…)</t>
  </si>
  <si>
    <t>·       La visualisation des examens complémentaires réalisés précédemment ? (biologie, imageries…)</t>
  </si>
  <si>
    <t>Vous devez lui faire une prescription. Comment jugez-vous :</t>
  </si>
  <si>
    <t xml:space="preserve">·       L'accès à des données utiles (antécédents, allergies, DFG par ex) pendant votre prescription ? </t>
  </si>
  <si>
    <t>·       Le partage (ou masquage) certains éléments de votre dossier avec votre collègue ou en pluriprofessionnalité ?</t>
  </si>
  <si>
    <t>·       L’organisation d’une réunion/staff mono ou pluridisciplinaire et la réintégration de ses conclusions ?</t>
  </si>
  <si>
    <t>Vous devez faire un arrêt de travail, et facturer la consultation. Est-ce facile :</t>
  </si>
  <si>
    <t>·       De faire une feuille de soins électronique de façon générale ? (en dégradé, en tiers payant, en AT…)</t>
  </si>
  <si>
    <t xml:space="preserve">·       La récupération et le classement des résultats biologiques et/ou radiologiques (Hprim, CDA...) ? </t>
  </si>
  <si>
    <t>Et si cela vous concerne, comment jugeriez-vous la facilité :</t>
  </si>
  <si>
    <t>·       D’aller chercher quels patients sont possiblement concernés par une nouvelle recommandation ? (recherche de type « lister les diabétiques de moins de 65 ans n'ayant pas eu de bilan depuis 1 an »)</t>
  </si>
  <si>
    <t xml:space="preserve">·       Pour votre secrétaire, interne ou remplaçant d’avoir accès à vos courriers et résultats en cas de besoin ? </t>
  </si>
  <si>
    <t>Fiabilité et relations avec l’éditeur</t>
  </si>
  <si>
    <t xml:space="preserve">Enfin, nous allons évoquer la qualité de vos relations avec l'éditeur de votre logiciel. </t>
  </si>
  <si>
    <t xml:space="preserve">·       Si vous avez été concerné, avez-vous pu récupérer les données de votre ancien logiciel de façon acceptable ? 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</si>
  <si>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Trouvez-vous la stratégie de communication de votre éditeur adaptée ? (en cas de nouveauté, de panne, etc.)</t>
    </r>
  </si>
  <si>
    <t>·       Comment évalueriez-vous les modalités de conservation et de sécurisation de vos données ? (0 si vous ne savez pas)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</si>
  <si>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Comment évaluez-vous la politique tarifaire ? (abonnements, packs, options, licences, MAJ...)</t>
    </r>
  </si>
  <si>
    <t>Et le meilleur pour la fin :</t>
  </si>
  <si>
    <t xml:space="preserve">Comment évalueriez-vous le rapport qualité/prix de votre logiciel ? </t>
  </si>
  <si>
    <t xml:space="preserve">·       Estimez-vous que votre logiciel vous fait globalement perdre ou gagner du temps (de 0 à 10) ? </t>
  </si>
  <si>
    <t>Connexion</t>
  </si>
  <si>
    <t>AATi</t>
  </si>
  <si>
    <t xml:space="preserve">Formation initiale + continue </t>
  </si>
  <si>
    <t>qualité prix</t>
  </si>
  <si>
    <t>INS</t>
  </si>
  <si>
    <t>Envoi DMP</t>
  </si>
  <si>
    <t xml:space="preserve"> Pratique </t>
  </si>
  <si>
    <t>Modèles autres</t>
  </si>
  <si>
    <t xml:space="preserve">INTERFACE </t>
  </si>
  <si>
    <t>Pluripro</t>
  </si>
  <si>
    <t>Stable</t>
  </si>
  <si>
    <t xml:space="preserve">Recommanderiez-vous ce logiciel à vos collègues ? </t>
  </si>
  <si>
    <t xml:space="preserve">NPS </t>
  </si>
  <si>
    <t xml:space="preserve">FONCTIONNALITES </t>
  </si>
  <si>
    <t xml:space="preserve">EDITEUR </t>
  </si>
  <si>
    <t>Importation des résultats +</t>
  </si>
  <si>
    <t>MAJ</t>
  </si>
  <si>
    <t>Signature électronique et échange de documents</t>
  </si>
  <si>
    <t>Formation</t>
  </si>
  <si>
    <t>QUALITE PRIX</t>
  </si>
  <si>
    <t>QUALITE-PRIX</t>
  </si>
  <si>
    <t>NOUVEAUX ITEMS</t>
  </si>
  <si>
    <t xml:space="preserve"> Intégration des examens en consultation </t>
  </si>
  <si>
    <t xml:space="preserve">Module pour objets médicaux connectés </t>
  </si>
  <si>
    <t xml:space="preserve">·      La récupération des données de son Espace Santé (ex-DMP) ? </t>
  </si>
  <si>
    <t>·      Votre « IA Scribe » (le fameux « assistant virtuel » qui prend les notes à votre place) si vous en avez un ?</t>
  </si>
  <si>
    <t>·      La saisie de vos notes de consultation ?</t>
  </si>
  <si>
    <t xml:space="preserve">·      L’usage des « modèles de consultation » s'ils existent </t>
  </si>
  <si>
    <t>·      La création d’une nouvelle ordonnance de pharmacie, avec les posologies spécifiques à sa situation ?</t>
  </si>
  <si>
    <t xml:space="preserve">·      Les modèles d’ordonnances, s'ils existent ? </t>
  </si>
  <si>
    <t xml:space="preserve">·      La facilité de faire une ordonnance numérique ? </t>
  </si>
  <si>
    <t xml:space="preserve">·      Les alertes de votre logiciel d’aide à la prescription ? (Vidal, BCB, Synapse…) ? </t>
  </si>
  <si>
    <t>·      Les modèles de certificats, d'attestations ou de courriers-types ?</t>
  </si>
  <si>
    <t xml:space="preserve">·      La prescription d’examens complémentaires ou de soins paramédicaux ? </t>
  </si>
  <si>
    <t xml:space="preserve">·      La rédaction d’un courrier d’adressage pour un avis extérieur ? </t>
  </si>
  <si>
    <t xml:space="preserve">·      Son envoi via une messagerie sécurisée (Mailiz, Apicrypt…), si besoin après recherche du correspondant dans l’annuaire ? </t>
  </si>
  <si>
    <t xml:space="preserve">·      La gestion du carnet d’adresse, s’il existe au sein de votre logiciel ? </t>
  </si>
  <si>
    <t xml:space="preserve">·      Le demande et/ou réintégration d’une téléexpertise via votre logiciel, si vous en faites ? </t>
  </si>
  <si>
    <t>·      D’utiliser le téléservice « arrêt de travail » (AATi) de l’Assurance-Maladie intégré dans votre logiciel, s'il existe ?</t>
  </si>
  <si>
    <t xml:space="preserve">·      D’utiliser les autres téléservices le cas échéant ? (déclaration médecin traitant (DMTi), déclaration d’ALD (ALDi)…) </t>
  </si>
  <si>
    <t xml:space="preserve">·      Si vous faites des visites à domicile. Est-ce que votre logiciel est agréable et facile à utiliser en mobilité ? </t>
  </si>
  <si>
    <t xml:space="preserve">·      Le module de comptabilité, si votre logiciel le permet ? </t>
  </si>
  <si>
    <t>·      Le module de télétransmission et de vérification / relance des retours « Noémie » ?</t>
  </si>
  <si>
    <t xml:space="preserve">·      De créer un profil utilisateur pour votre remplaçant / interne ? </t>
  </si>
  <si>
    <t xml:space="preserve">·      Pour votre remplaçant / interne de prendre en main votre logiciel ? </t>
  </si>
  <si>
    <t xml:space="preserve">·      Êtes-vous satisfait des pratiques commerciales de votre éditeur ? (avant-vente, sollicitations, compensations par ex.) </t>
  </si>
  <si>
    <t xml:space="preserve">·      Est-ce que votre logiciel plante souvent ? </t>
  </si>
  <si>
    <t xml:space="preserve">·      Quand vous avez un problème, pouvez-vous compter sur le SAV ? </t>
  </si>
  <si>
    <t>·      Comment évalueriez-vous la stratégie de mise à jour de votre logiciel ?</t>
  </si>
  <si>
    <t xml:space="preserve">·      Comment évalueriez-vous la formation initiale et continue sur l'utilisation de votre logiciel, et l'accessibilité de sa documentation le cas échéant ? </t>
  </si>
  <si>
    <t xml:space="preserve">·      Avez-vous l'impression que vos besoins sont pris en considération, ou que l'éditeur avance de son côté sans tenir compte de l’avis de ses utilisateurs ? </t>
  </si>
  <si>
    <t xml:space="preserve">·      Est-il facile de savoir quand et comment résilier votre logiciel en cas de besoin ? </t>
  </si>
  <si>
    <t>ATCD</t>
  </si>
  <si>
    <t>Staffs</t>
  </si>
  <si>
    <t>Évaluation générale (critères principaux)</t>
  </si>
  <si>
    <t xml:space="preserve"> </t>
  </si>
  <si>
    <t>Interface</t>
  </si>
  <si>
    <t>Fonctionnalités</t>
  </si>
  <si>
    <t>Fiabilité</t>
  </si>
  <si>
    <t>Éditeur</t>
  </si>
  <si>
    <t>Qualité/prix</t>
  </si>
  <si>
    <t xml:space="preserve">Critères optionnels 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</si>
  <si>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Expérience utilisateur 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</si>
  <si>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Fonctionnalités « élémentaires » </t>
    </r>
  </si>
  <si>
    <t>Importation des résultats</t>
  </si>
  <si>
    <t>Carnet adresse</t>
  </si>
  <si>
    <t>Module de comptabilité</t>
  </si>
  <si>
    <t xml:space="preserve">Sauvegarde </t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</si>
  <si>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Fonctionnalités « avancées »</t>
    </r>
  </si>
  <si>
    <t>Messagerie interne</t>
  </si>
  <si>
    <t>Intégration d’un agenda natif / externe</t>
  </si>
  <si>
    <t>Moteur de recherche interne multicritères</t>
  </si>
  <si>
    <t>Dictée vocale</t>
  </si>
  <si>
    <t>Gestion des droits d’accès</t>
  </si>
  <si>
    <t>Visualisation des Résultats biologiques</t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</si>
  <si>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Fonctionnalités e-santé</t>
    </r>
  </si>
  <si>
    <t>Téléservices AM</t>
  </si>
  <si>
    <t>Intégration de la messagerie sécurisée</t>
  </si>
  <si>
    <t>Intégration des examens en consultation</t>
  </si>
  <si>
    <t xml:space="preserve">Usage en Mobilité </t>
  </si>
  <si>
    <t>Module pour objets médicaux connectés</t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</si>
  <si>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Rapport à l’éditeur</t>
    </r>
  </si>
  <si>
    <t xml:space="preserve">Transparence </t>
  </si>
  <si>
    <t xml:space="preserve">Pratiques commerciales </t>
  </si>
  <si>
    <t>SAV accessible</t>
  </si>
  <si>
    <t>SAV qualité</t>
  </si>
  <si>
    <t xml:space="preserve">Formation initiale </t>
  </si>
  <si>
    <t xml:space="preserve">Formation continue </t>
  </si>
  <si>
    <t>NPS</t>
  </si>
  <si>
    <t>188wdNDHLs2a2TnFTGzh</t>
  </si>
  <si>
    <t>L’accessibilité de son SAV</t>
  </si>
  <si>
    <t>3SeZN7OymhsfPApyprtk</t>
  </si>
  <si>
    <t>La qualité des réponses du SAV</t>
  </si>
  <si>
    <t>3vfZnnOgGswPf1f0bpbU</t>
  </si>
  <si>
    <t>5BWcCOEKhIR87s7zmALi</t>
  </si>
  <si>
    <t>La formation continue</t>
  </si>
  <si>
    <t>6QxG6npbviw0phomrY6S</t>
  </si>
  <si>
    <t>6lQwJcIwEe2e1VwG4Epg</t>
  </si>
  <si>
    <t>AqwLkJRYY6IFNnHiPoYT</t>
  </si>
  <si>
    <t>Votre appréciation</t>
  </si>
  <si>
    <t>BOxekPXexyuk2lIKZv6l</t>
  </si>
  <si>
    <t>Carnet d’adresses</t>
  </si>
  <si>
    <t>Ses fonctionnalités</t>
  </si>
  <si>
    <t>BXXSV5q2bSaZGrMpK57L</t>
  </si>
  <si>
    <t>Signature</t>
  </si>
  <si>
    <t>CqeCBhtwd0kJEyhSxvtS</t>
  </si>
  <si>
    <t>E74gXpXOJDCNdU6H2JKc</t>
  </si>
  <si>
    <t>Mise à jour</t>
  </si>
  <si>
    <t>G90cCBFkqxPNiShMUg3k</t>
  </si>
  <si>
    <t>GqGtJVvLzN6Whuqb5vDb</t>
  </si>
  <si>
    <t>HJtYSfxcecFMjfLinChA</t>
  </si>
  <si>
    <t>Réception</t>
  </si>
  <si>
    <t>IO9GZH10h3B3VOaSAub9</t>
  </si>
  <si>
    <t>Edition</t>
  </si>
  <si>
    <t>ITg3nUT9kJVyBGLHtREQ</t>
  </si>
  <si>
    <t>Intégration d’une messagerie sécurisée</t>
  </si>
  <si>
    <t>LUjXsLL2h701yL2fwPsW</t>
  </si>
  <si>
    <t>Sa fiabilité</t>
  </si>
  <si>
    <t>MsnKsAdkjimk4LsGH2dx</t>
  </si>
  <si>
    <t>Téléservices de l’assurance maladie</t>
  </si>
  <si>
    <t>OtE7WVKTHqlklKPMbK7I</t>
  </si>
  <si>
    <t>Son interface utlisateur</t>
  </si>
  <si>
    <t>QAl13bi1x4sUve5TmY7N</t>
  </si>
  <si>
    <t>RHyxJyebPbpYHwDp9bTw</t>
  </si>
  <si>
    <t>RK6VtcqlamqqOfQLjtwJ</t>
  </si>
  <si>
    <t>SCPZZTyVzRUfPI0vJvGk</t>
  </si>
  <si>
    <t>TcE7T0waWk9LTUrKDs8k</t>
  </si>
  <si>
    <t>UYCoQc6iXQD8RqlaEMdq</t>
  </si>
  <si>
    <t>Module de comptatibilité</t>
  </si>
  <si>
    <t>WjGutZdxFPsog9JJkyKE</t>
  </si>
  <si>
    <t>Y1xy4rdYHsOamPhKsV3J</t>
  </si>
  <si>
    <t>YtRb9V7ND7SVzir5QOVs</t>
  </si>
  <si>
    <t>La formation initiale</t>
  </si>
  <si>
    <t>Yz4UJ0eCWwY3AtQMxB3H</t>
  </si>
  <si>
    <t>Sa transparence</t>
  </si>
  <si>
    <t>adWYlABeQtQXXg1Wsa2Q</t>
  </si>
  <si>
    <t>Ses pratiques commerciales</t>
  </si>
  <si>
    <t>aqE9gdklIAm8N1vBFMmq</t>
  </si>
  <si>
    <t>ds3K3lZ1YExii9uW5GJF</t>
  </si>
  <si>
    <t>Intégration des examens en consultation"</t>
  </si>
  <si>
    <t>ecPWxGf82b5CMjwzY3Wx</t>
  </si>
  <si>
    <t>euEzFClPwqsjChnhCtd3</t>
  </si>
  <si>
    <t>fKHmrgyaNUHULjx525fn</t>
  </si>
  <si>
    <t xml:space="preserve">Dossier Patient </t>
  </si>
  <si>
    <t>NomLong</t>
  </si>
  <si>
    <t>identifiantTech</t>
  </si>
  <si>
    <t>g2ExXymmThwM81e88vZG</t>
  </si>
  <si>
    <t xml:space="preserve">Prescription autres </t>
  </si>
  <si>
    <t xml:space="preserve">Prescription de médicaments </t>
  </si>
  <si>
    <t>UvKNO6Ia2pWwsuchxhOm</t>
  </si>
  <si>
    <t xml:space="preserve">Courriers </t>
  </si>
  <si>
    <t>zhdJeq4MIbNY0SGMQFdU</t>
  </si>
  <si>
    <t>Rapport qualité/prix</t>
  </si>
  <si>
    <t>xtV0TVPXl9bXveQAXUIi</t>
  </si>
  <si>
    <t>xhvgWjQ7ZgiUo64L0SPH</t>
  </si>
  <si>
    <t>v8OaD2IMlmxyLdLxAycK</t>
  </si>
  <si>
    <t>Gestion des courriers</t>
  </si>
  <si>
    <t>rqHquf38HCrl9MZPY73C</t>
  </si>
  <si>
    <t>pZApRb5vYuF4f16scvHJ</t>
  </si>
  <si>
    <t>n5xBPe5rWpFjMdDBi7H1</t>
  </si>
  <si>
    <t>jLDKLVdISuaIIUSGBiWg</t>
  </si>
  <si>
    <t>Votre rapport à l’éditeur</t>
  </si>
  <si>
    <t>i5zYCB0THnVUS1uQDPON</t>
  </si>
  <si>
    <t>Moteur de recherche interne multicritères"</t>
  </si>
  <si>
    <t>gy6E76ougY8BuiTgxBpZ</t>
  </si>
  <si>
    <t>Module de télétransmission</t>
  </si>
  <si>
    <t>g900ryd24N9ajFcFS09L</t>
  </si>
  <si>
    <t>String</t>
  </si>
  <si>
    <t xml:space="preserve">Devient </t>
  </si>
  <si>
    <t>Est-ce que vous jugez son interface lisible et visuellement agréable de façon générale ?</t>
  </si>
  <si>
    <t>Est-ce que vous diriez qu'il est rapide, "réactif" ?</t>
  </si>
  <si>
    <t>Si votre agenda est intégré ou interfacé à votre logiciel, trouvez-vous cela pratique et bien fait ?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</si>
  <si>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</si>
  <si>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</si>
  <si>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</si>
  <si>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</si>
  <si>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</si>
  <si>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</si>
  <si>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</si>
  <si>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</si>
  <si>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</si>
  <si>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</si>
  <si>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</si>
  <si>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</si>
  <si>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</si>
  <si>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</si>
  <si>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</si>
  <si>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</si>
  <si>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</si>
  <si>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</si>
  <si>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</si>
  <si>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</si>
  <si>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</si>
  <si>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</si>
  <si>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</si>
  <si>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</si>
  <si>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</si>
  <si>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</si>
  <si>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</si>
  <si>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</si>
  <si>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</si>
  <si>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</si>
  <si>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</si>
  <si>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</si>
  <si>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</si>
  <si>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</si>
  <si>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</si>
  <si>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</si>
  <si>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</si>
  <si>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</si>
  <si>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</si>
  <si>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</si>
  <si>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</si>
  <si>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</si>
  <si>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</si>
  <si>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</si>
  <si>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</si>
  <si>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</si>
  <si>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</si>
  <si>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</si>
  <si>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</si>
  <si>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</si>
  <si>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</si>
  <si>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</si>
  <si>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</si>
  <si>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</si>
  <si>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Est-ce que la connexion à votre logiciel est facile ?</t>
  </si>
  <si>
    <t>Qualification de l’INS (Identifiant National de Santé) ?</t>
  </si>
  <si>
    <t xml:space="preserve">La récupération des données de son Espace Santé (ex-DMP) ? </t>
  </si>
  <si>
    <t>La création de nouveaux antécédents au sein de votre logiciel ?</t>
  </si>
  <si>
    <t>La numérisation et/ou le classement des documents (courriers, résultats…) au bon endroit ?</t>
  </si>
  <si>
    <t>La saisie de vos notes de consultation ?</t>
  </si>
  <si>
    <t xml:space="preserve">L’usage des « modèles de consultation » s'ils existent </t>
  </si>
  <si>
    <t>Votre « IA Scribe » (le fameux « assistant virtuel » qui prend les notes à votre place) si vous en avez un ?</t>
  </si>
  <si>
    <t>La facilité d’intégration de vos éventuels examens complémentaires en consultation ? (ECG, audiométrie…)</t>
  </si>
  <si>
    <t>La visualisation des examens complémentaires réalisés précédemment ? (biologie, imageries…)</t>
  </si>
  <si>
    <t>La création d’une nouvelle ordonnance de pharmacie, avec les posologies spécifiques à sa situation ?</t>
  </si>
  <si>
    <t xml:space="preserve">Les modèles d’ordonnances, s'ils existent ? </t>
  </si>
  <si>
    <t xml:space="preserve">La facilité de faire une ordonnance numérique ? </t>
  </si>
  <si>
    <t>La facilité de signer numériquement cette ordonnance ?</t>
  </si>
  <si>
    <t>L’envoi dans le DMP/ENS du patient ?</t>
  </si>
  <si>
    <t xml:space="preserve">L'accès à des données utiles (antécédents, allergies, DFG par ex) pendant votre prescription ? </t>
  </si>
  <si>
    <t>Dossier Patient</t>
  </si>
  <si>
    <t xml:space="preserve">Les alertes de votre logiciel d’aide à la prescription ? (Vidal, BCB, Synapse…) ? </t>
  </si>
  <si>
    <t>Les modèles de certificats, d'attestations ou de courriers-types ?</t>
  </si>
  <si>
    <t xml:space="preserve">La prescription d’examens complémentaires ou de soins paramédicaux ? 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</si>
  <si>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Aptos"/>
        <family val="2"/>
      </rPr>
      <t>L'envoi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d</t>
    </r>
    <r>
      <rPr>
        <sz val="7"/>
        <color theme="1"/>
        <rFont val="Times New Roman"/>
        <family val="1"/>
      </rPr>
      <t>'</t>
    </r>
    <r>
      <rPr>
        <sz val="12"/>
        <color theme="1"/>
        <rFont val="Aptos"/>
        <family val="2"/>
      </rPr>
      <t>un message à votre collègue au sein du cabinet via le logiciel ?</t>
    </r>
  </si>
  <si>
    <t>L'envoi d'un message à votre collègue au sein du cabinet via le logiciel ?</t>
  </si>
  <si>
    <t>Le partage (ou masquage) certains éléments de votre dossier avec votre collègue ou en pluriprofessionnalité ?</t>
  </si>
  <si>
    <t>L’organisation d’une réunion/staff mono ou pluridisciplinaire et la réintégration de ses conclusions ?</t>
  </si>
  <si>
    <t xml:space="preserve">La rédaction d’un courrier d’adressage pour un avis extérieur ? </t>
  </si>
  <si>
    <t xml:space="preserve">Son envoi via une messagerie sécurisée (Mailiz, Apicrypt…), si besoin après recherche du correspondant dans l’annuaire ? </t>
  </si>
  <si>
    <t xml:space="preserve">La gestion du carnet d’adresse, s’il existe au sein de votre logiciel ? </t>
  </si>
  <si>
    <t xml:space="preserve">Le demande et/ou réintégration d’une téléexpertise via votre logiciel, si vous en faites ? </t>
  </si>
  <si>
    <t>D’utiliser le téléservice « arrêt de travail » (AATi) de l’Assurance-Maladie intégré dans votre logiciel, s'il existe ?</t>
  </si>
  <si>
    <t xml:space="preserve">D’utiliser les autres téléservices le cas échéant ? (déclaration médecin traitant (DMTi), déclaration d’ALD (ALDi)…) </t>
  </si>
  <si>
    <t>De faire une feuille de soins électronique de façon générale ? (en dégradé, en tiers payant, en AT…)</t>
  </si>
  <si>
    <t xml:space="preserve">Si vous faites des visites à domicile. Est-ce que votre logiciel est agréable et facile à utiliser en mobilité ? </t>
  </si>
  <si>
    <t xml:space="preserve">Le module de comptabilité, si votre logiciel le permet ? </t>
  </si>
  <si>
    <t>FSE</t>
  </si>
  <si>
    <t>Le module de télétransmission et de vérification / relance des retours « Noémie » ?</t>
  </si>
  <si>
    <t>AAT</t>
  </si>
  <si>
    <t>Staff</t>
  </si>
  <si>
    <t>Ordonum</t>
  </si>
  <si>
    <t xml:space="preserve">La récupération et le classement des résultats biologiques et/ou radiologiques (Hprim, CDA...) ? </t>
  </si>
  <si>
    <t xml:space="preserve">De créer un profil utilisateur pour votre remplaçant / interne ? </t>
  </si>
  <si>
    <t>Rempla</t>
  </si>
  <si>
    <t xml:space="preserve">Pour votre remplaçant / interne de prendre en main votre logiciel ? </t>
  </si>
  <si>
    <t>D’aller chercher quels patients sont possiblement concernés par une nouvelle recommandation ? (recherche de type « lister les diabétiques de moins de 65 ans n'ayant pas eu de bilan depuis 1 an »)</t>
  </si>
  <si>
    <t xml:space="preserve">Pour votre secrétaire, interne ou remplaçant d’avoir accès à vos courriers et résultats en cas de besoin ? </t>
  </si>
  <si>
    <t xml:space="preserve">Êtes-vous satisfait des pratiques commerciales de votre éditeur ? (avant-vente, sollicitations, compensations par ex.) </t>
  </si>
  <si>
    <t>Import</t>
  </si>
  <si>
    <t xml:space="preserve">Si vous avez été concerné, avez-vous pu récupérer les données de votre ancien logiciel de façon acceptable ? </t>
  </si>
  <si>
    <t xml:space="preserve">Est-ce que votre logiciel plante souvent ? </t>
  </si>
  <si>
    <t xml:space="preserve">Quand vous avez un problème, pouvez-vous compter sur le SAV ? </t>
  </si>
  <si>
    <t>Trouvez-vous la stratégie de communication de votre éditeur adaptée ? (en cas de nouveauté, de panne, etc.)</t>
  </si>
  <si>
    <t>Comm</t>
  </si>
  <si>
    <t>Comment évalueriez-vous les modalités de conservation et de sécurisation de vos données ? (0 si vous ne savez pas)</t>
  </si>
  <si>
    <t>Comment évalueriez-vous la stratégie de mise à jour de votre logiciel ?</t>
  </si>
  <si>
    <t xml:space="preserve">Comment évalueriez-vous la formation initiale et continue sur l'utilisation de votre logiciel, et l'accessibilité de sa documentation le cas échéant ? </t>
  </si>
  <si>
    <t xml:space="preserve">Avez-vous l'impression que vos besoins sont pris en considération, ou que l'éditeur avance de son côté sans tenir compte de l’avis de ses utilisateurs ? </t>
  </si>
  <si>
    <t xml:space="preserve">Est-il facile de savoir quand et comment résilier votre logiciel en cas de besoin ? </t>
  </si>
  <si>
    <t>Comment évaluez-vous la politique tarifaire ? (abonnements, packs, options, licences, MAJ...)</t>
  </si>
  <si>
    <t>Tarif</t>
  </si>
  <si>
    <t xml:space="preserve">Estimez-vous que votre logiciel vous fait globalement perdre ou gagner du temps (de 0 à 10) ? </t>
  </si>
  <si>
    <t>Efficience</t>
  </si>
  <si>
    <t>Nouvel item</t>
  </si>
  <si>
    <t>Correspondance la plus proche</t>
  </si>
  <si>
    <t>Fusion ? --&gt;</t>
  </si>
  <si>
    <t xml:space="preserve">idem ? </t>
  </si>
  <si>
    <t>new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</si>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</sst>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20"/>
      <color rgb="FF0F4761"/>
      <name val="Aptos Display"/>
      <family val="2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i/>
      <sz val="12"/>
      <color theme="1"/>
      <name val="Aptos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7"/>
      <color rgb="FF000000"/>
      <name val="Times New Roman"/>
      <family val="1"/>
    </font>
    <font>
      <sz val="8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</cellStyleXfs>
  <cellXfs count="42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49" fontId="2" fillId="2" borderId="0" xfId="0" quotePrefix="1" applyNumberFormat="1" applyFont="1" applyFill="1" applyAlignment="1">
      <alignment horizontal="left" vertical="center" wrapText="1"/>
    </xf>
    <xf numFmtId="49" fontId="0" fillId="0" borderId="0" xfId="0" quotePrefix="1" applyNumberFormat="1"/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6" fillId="0" borderId="0" xfId="0" applyNumberFormat="1" applyFont="1" applyAlignment="1">
      <alignment wrapText="1"/>
    </xf>
    <xf numFmtId="49" fontId="2" fillId="2" borderId="0" xfId="0" applyNumberFormat="1" applyFont="1" applyFill="1" applyAlignment="1">
      <alignment horizontal="left" vertical="center" wrapText="1"/>
    </xf>
    <xf numFmtId="49" fontId="0" fillId="0" borderId="0" xfId="0" quotePrefix="1" applyNumberFormat="1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49" fontId="4" fillId="0" borderId="0" xfId="0" applyNumberFormat="1" applyFont="1" applyAlignment="1">
      <alignment vertical="center" wrapText="1"/>
    </xf>
    <xf numFmtId="0" fontId="7" fillId="2" borderId="0" xfId="0" applyFont="1" applyFill="1"/>
    <xf numFmtId="0" fontId="9" fillId="2" borderId="0" xfId="0" applyFont="1" applyFill="1" applyAlignment="1">
      <alignment horizontal="left" vertical="center" indent="6"/>
    </xf>
    <xf numFmtId="49" fontId="0" fillId="2" borderId="0" xfId="0" applyNumberFormat="1" applyFill="1" applyAlignment="1">
      <alignment wrapText="1"/>
    </xf>
    <xf numFmtId="0" fontId="6" fillId="0" borderId="0" xfId="0" applyFont="1" applyAlignment="1">
      <alignment wrapText="1"/>
    </xf>
    <xf numFmtId="49" fontId="10" fillId="6" borderId="0" xfId="2" applyNumberFormat="1" applyAlignment="1">
      <alignment horizontal="center" vertical="center" wrapText="1"/>
    </xf>
    <xf numFmtId="49" fontId="11" fillId="5" borderId="0" xfId="1" applyNumberFormat="1" applyAlignment="1">
      <alignment wrapText="1"/>
    </xf>
    <xf numFmtId="0" fontId="7" fillId="2" borderId="0" xfId="0" applyFont="1" applyFill="1" applyAlignment="1">
      <alignment wrapText="1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6"/>
    </xf>
    <xf numFmtId="0" fontId="12" fillId="0" borderId="0" xfId="0" applyFont="1"/>
    <xf numFmtId="0" fontId="0" fillId="0" borderId="0" xfId="0" quotePrefix="1"/>
    <xf numFmtId="0" fontId="0" fillId="7" borderId="0" xfId="0" quotePrefix="1" applyFill="1"/>
    <xf numFmtId="0" fontId="0" fillId="7" borderId="0" xfId="0" applyFill="1"/>
    <xf numFmtId="0" fontId="16" fillId="0" borderId="0" xfId="0" applyFont="1"/>
    <xf numFmtId="49" fontId="5" fillId="3" borderId="0" xfId="0" applyNumberFormat="1" applyFont="1" applyFill="1" applyAlignment="1">
      <alignment wrapText="1"/>
    </xf>
    <xf numFmtId="0" fontId="5" fillId="7" borderId="0" xfId="0" applyFont="1" applyFill="1" applyAlignment="1">
      <alignment vertical="center"/>
    </xf>
    <xf numFmtId="49" fontId="0" fillId="6" borderId="0" xfId="2" applyNumberFormat="1" applyFont="1" applyAlignment="1">
      <alignment horizontal="center" vertical="center" wrapText="1"/>
    </xf>
    <xf numFmtId="10" fontId="5" fillId="0" borderId="0" xfId="0" applyNumberFormat="1" applyFont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quotePrefix="1" applyFill="1" applyAlignment="1">
      <alignment horizontal="center" vertical="center"/>
    </xf>
  </cellXfs>
  <cellStyles count="3">
    <cellStyle name="20 % - Accent2" xfId="2" builtinId="34"/>
    <cellStyle name="Insatisfaisant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742950</xdr:colOff>
      <xdr:row>0</xdr:row>
      <xdr:rowOff>161925</xdr:rowOff>
    </xdr:from>
    <xdr:to>
      <xdr:col>20</xdr:col>
      <xdr:colOff>271962</xdr:colOff>
      <xdr:row>13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79AD828-1ADE-0069-A00B-836B9097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61925"/>
          <a:ext cx="3339012" cy="2238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23812</xdr:colOff>
      <xdr:row>13</xdr:row>
      <xdr:rowOff>103574</xdr:rowOff>
    </xdr:from>
    <xdr:to>
      <xdr:col>20</xdr:col>
      <xdr:colOff>147637</xdr:colOff>
      <xdr:row>20</xdr:row>
      <xdr:rowOff>9525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86364C2-3BEF-8D3B-C61D-DDAFC068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812" y="2456249"/>
          <a:ext cx="3171825" cy="1172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</xdr:colOff>
      <xdr:row>19</xdr:row>
      <xdr:rowOff>28575</xdr:rowOff>
    </xdr:from>
    <xdr:to>
      <xdr:col>20</xdr:col>
      <xdr:colOff>304800</xdr:colOff>
      <xdr:row>40</xdr:row>
      <xdr:rowOff>15172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9EABE7B-DB01-C618-ECC0-74A348CD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3467100"/>
          <a:ext cx="3343275" cy="3787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19439</xdr:colOff>
      <xdr:row>37</xdr:row>
      <xdr:rowOff>85725</xdr:rowOff>
    </xdr:from>
    <xdr:to>
      <xdr:col>20</xdr:col>
      <xdr:colOff>157163</xdr:colOff>
      <xdr:row>49</xdr:row>
      <xdr:rowOff>52388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9DA10AF-87D1-352B-FE98-55C6BE88A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439" y="5876925"/>
          <a:ext cx="3185724" cy="2138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709612</xdr:colOff>
      <xdr:row>48</xdr:row>
      <xdr:rowOff>138113</xdr:rowOff>
    </xdr:from>
    <xdr:to>
      <xdr:col>20</xdr:col>
      <xdr:colOff>161925</xdr:colOff>
      <xdr:row>60</xdr:row>
      <xdr:rowOff>112991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94209CE-4DEB-1D20-521A-626C4A39B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2412" y="8824913"/>
          <a:ext cx="3262313" cy="2146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704850</xdr:colOff>
      <xdr:row>58</xdr:row>
      <xdr:rowOff>161926</xdr:rowOff>
    </xdr:from>
    <xdr:to>
      <xdr:col>20</xdr:col>
      <xdr:colOff>113449</xdr:colOff>
      <xdr:row>69</xdr:row>
      <xdr:rowOff>109539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FB049988-0240-74A3-C182-A52EBE1BF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10658476"/>
          <a:ext cx="3218599" cy="1938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6D35-9998-4B5E-B020-318CE133FBC6}">
  <dimension ref="A3:S106"/>
  <sheetViews>
    <sheetView tabSelected="1" zoomScale="102" workbookViewId="0">
      <selection activeCell="A3" sqref="A3:H28"/>
    </sheetView>
  </sheetViews>
  <sheetFormatPr baseColWidth="10" defaultColWidth="10.6640625" defaultRowHeight="15" x14ac:dyDescent="0.2"/>
  <cols>
    <col min="1" max="1" width="2.6640625" style="2" customWidth="1"/>
    <col min="2" max="2" width="80.33203125" style="6" customWidth="1"/>
    <col min="3" max="3" width="3.83203125" style="2" hidden="1" customWidth="1"/>
    <col min="4" max="4" width="27.83203125" style="6" hidden="1" customWidth="1"/>
    <col min="5" max="5" width="12.83203125" style="6" hidden="1" customWidth="1"/>
    <col min="6" max="6" width="20.6640625" style="6" hidden="1" customWidth="1"/>
    <col min="7" max="7" width="5" style="2" customWidth="1"/>
    <col min="8" max="8" width="16.83203125" style="7" customWidth="1"/>
    <col min="9" max="9" width="4" style="2" customWidth="1"/>
    <col min="10" max="10" width="13.6640625" style="2" hidden="1" customWidth="1"/>
    <col min="11" max="13" width="0" style="2" hidden="1" customWidth="1"/>
    <col min="14" max="14" width="10.6640625" style="2"/>
    <col min="15" max="15" width="10.83203125"/>
    <col min="16" max="16" width="14.33203125" style="2" customWidth="1"/>
    <col min="17" max="16384" width="10.6640625" style="2"/>
  </cols>
  <sheetData>
    <row r="3" spans="1:19" ht="48" x14ac:dyDescent="0.2">
      <c r="B3" s="1" t="s">
        <v>0</v>
      </c>
      <c r="D3" s="37" t="s">
        <v>374</v>
      </c>
      <c r="E3" s="3" t="s">
        <v>49</v>
      </c>
      <c r="F3" s="37" t="s">
        <v>373</v>
      </c>
      <c r="G3" s="4"/>
      <c r="H3" s="24" t="s">
        <v>37</v>
      </c>
      <c r="J3" s="2" t="s">
        <v>50</v>
      </c>
    </row>
    <row r="4" spans="1:19" ht="16" x14ac:dyDescent="0.2">
      <c r="B4" s="5"/>
      <c r="J4" s="2" t="s">
        <v>51</v>
      </c>
      <c r="K4" s="2" t="s">
        <v>52</v>
      </c>
      <c r="L4" s="2" t="s">
        <v>53</v>
      </c>
      <c r="M4" s="2" t="s">
        <v>54</v>
      </c>
    </row>
    <row r="5" spans="1:19" ht="17" x14ac:dyDescent="0.2">
      <c r="B5" s="5" t="s">
        <v>1</v>
      </c>
    </row>
    <row r="6" spans="1:19" ht="51" x14ac:dyDescent="0.2">
      <c r="B6" s="5" t="s">
        <v>2</v>
      </c>
    </row>
    <row r="7" spans="1:19" ht="16" x14ac:dyDescent="0.2">
      <c r="B7" s="5"/>
      <c r="O7" t="s">
        <v>35</v>
      </c>
      <c r="P7" s="2" t="s">
        <v>47</v>
      </c>
      <c r="Q7" s="2" t="s">
        <v>48</v>
      </c>
      <c r="R7" s="2" t="s">
        <v>106</v>
      </c>
      <c r="S7" s="2" t="s">
        <v>36</v>
      </c>
    </row>
    <row r="8" spans="1:19" x14ac:dyDescent="0.2">
      <c r="B8" s="17" t="s">
        <v>55</v>
      </c>
      <c r="O8">
        <f>COUNTIF($H9:$H100,"INTERFACE")</f>
        <v>21</v>
      </c>
      <c r="P8">
        <f>COUNTIF($H9:$H100,"FONCTIONNALITES")</f>
        <v>19</v>
      </c>
      <c r="Q8">
        <f>COUNTIF($H9:$H100,"EDITEUR")</f>
        <v>9</v>
      </c>
      <c r="R8">
        <f>COUNTIF($H9:$H100,"QUALITE-PRIX")</f>
        <v>2</v>
      </c>
      <c r="S8">
        <f>COUNTIF($H9:$H100,"FIABILITE")</f>
        <v>2</v>
      </c>
    </row>
    <row r="9" spans="1:19" ht="17" x14ac:dyDescent="0.2">
      <c r="A9" s="2" t="s">
        <v>259</v>
      </c>
      <c r="B9" s="8" t="s">
        <v>56</v>
      </c>
      <c r="C9" s="9" t="s">
        <v>34</v>
      </c>
      <c r="D9" s="10"/>
      <c r="E9" s="11"/>
      <c r="F9" s="6" t="s">
        <v>87</v>
      </c>
      <c r="H9" s="7" t="s">
        <v>35</v>
      </c>
    </row>
    <row r="10" spans="1:19" ht="17" x14ac:dyDescent="0.2">
      <c r="A10" s="2" t="s">
        <v>260</v>
      </c>
      <c r="B10" s="8" t="s">
        <v>59</v>
      </c>
      <c r="C10" s="9" t="s">
        <v>34</v>
      </c>
      <c r="D10" s="6" t="s">
        <v>95</v>
      </c>
      <c r="E10" s="11"/>
      <c r="H10" s="7" t="s">
        <v>35</v>
      </c>
    </row>
    <row r="11" spans="1:19" ht="17" x14ac:dyDescent="0.2">
      <c r="A11" s="2" t="s">
        <v>261</v>
      </c>
      <c r="B11" s="8" t="s">
        <v>58</v>
      </c>
      <c r="C11" s="9" t="s">
        <v>34</v>
      </c>
      <c r="D11" s="12" t="s">
        <v>46</v>
      </c>
      <c r="H11" s="7" t="s">
        <v>35</v>
      </c>
      <c r="O11" t="s">
        <v>108</v>
      </c>
    </row>
    <row r="12" spans="1:19" ht="34" x14ac:dyDescent="0.2">
      <c r="A12" s="2" t="s">
        <v>262</v>
      </c>
      <c r="B12" s="13" t="s">
        <v>57</v>
      </c>
      <c r="C12" s="9" t="s">
        <v>34</v>
      </c>
      <c r="D12" s="6" t="s">
        <v>39</v>
      </c>
      <c r="H12" s="7" t="s">
        <v>47</v>
      </c>
      <c r="O12">
        <f>COUNTA(F9:F100)</f>
        <v>16</v>
      </c>
    </row>
    <row r="13" spans="1:19" ht="16" x14ac:dyDescent="0.2">
      <c r="B13" s="5"/>
    </row>
    <row r="14" spans="1:19" ht="16" x14ac:dyDescent="0.2">
      <c r="B14" s="5"/>
    </row>
    <row r="15" spans="1:19" ht="26" x14ac:dyDescent="0.2">
      <c r="B15" s="1" t="s">
        <v>3</v>
      </c>
    </row>
    <row r="16" spans="1:19" ht="16" x14ac:dyDescent="0.2">
      <c r="B16" s="5"/>
    </row>
    <row r="17" spans="1:8" ht="34" x14ac:dyDescent="0.2">
      <c r="B17" s="5" t="s">
        <v>60</v>
      </c>
    </row>
    <row r="18" spans="1:8" ht="16" x14ac:dyDescent="0.2">
      <c r="B18" s="5"/>
    </row>
    <row r="19" spans="1:8" ht="17" x14ac:dyDescent="0.2">
      <c r="B19" s="5" t="s">
        <v>61</v>
      </c>
    </row>
    <row r="20" spans="1:8" ht="17" x14ac:dyDescent="0.2">
      <c r="A20" s="2" t="s">
        <v>263</v>
      </c>
      <c r="B20" s="13" t="s">
        <v>62</v>
      </c>
      <c r="C20" s="9" t="s">
        <v>34</v>
      </c>
      <c r="D20" s="10"/>
      <c r="F20" s="6" t="s">
        <v>91</v>
      </c>
      <c r="H20" s="7" t="s">
        <v>35</v>
      </c>
    </row>
    <row r="21" spans="1:8" ht="17" x14ac:dyDescent="0.2">
      <c r="A21" s="2" t="s">
        <v>264</v>
      </c>
      <c r="B21" s="8" t="s">
        <v>111</v>
      </c>
      <c r="C21" s="9" t="s">
        <v>34</v>
      </c>
      <c r="D21" s="25" t="s">
        <v>11</v>
      </c>
      <c r="H21" s="7" t="s">
        <v>47</v>
      </c>
    </row>
    <row r="22" spans="1:8" ht="17" x14ac:dyDescent="0.2">
      <c r="A22" s="2" t="s">
        <v>265</v>
      </c>
      <c r="B22" s="8" t="s">
        <v>63</v>
      </c>
      <c r="C22" s="9" t="s">
        <v>34</v>
      </c>
      <c r="D22" s="10"/>
      <c r="F22" s="6" t="s">
        <v>139</v>
      </c>
      <c r="H22" s="7" t="s">
        <v>35</v>
      </c>
    </row>
    <row r="23" spans="1:8" ht="34" x14ac:dyDescent="0.2">
      <c r="A23" s="2" t="s">
        <v>266</v>
      </c>
      <c r="B23" s="13" t="s">
        <v>64</v>
      </c>
      <c r="C23" s="9" t="s">
        <v>34</v>
      </c>
      <c r="D23" s="14" t="s">
        <v>43</v>
      </c>
      <c r="H23" s="7" t="s">
        <v>47</v>
      </c>
    </row>
    <row r="24" spans="1:8" ht="16" x14ac:dyDescent="0.2">
      <c r="B24" s="15"/>
    </row>
    <row r="25" spans="1:8" ht="17" x14ac:dyDescent="0.2">
      <c r="B25" s="5" t="s">
        <v>65</v>
      </c>
    </row>
    <row r="26" spans="1:8" ht="17" x14ac:dyDescent="0.2">
      <c r="A26" s="2" t="s">
        <v>267</v>
      </c>
      <c r="B26" s="13" t="s">
        <v>113</v>
      </c>
      <c r="C26" s="9" t="s">
        <v>34</v>
      </c>
      <c r="D26" s="6" t="s">
        <v>329</v>
      </c>
      <c r="E26" s="11"/>
      <c r="H26" s="7" t="s">
        <v>35</v>
      </c>
    </row>
    <row r="27" spans="1:8" ht="32" x14ac:dyDescent="0.2">
      <c r="A27" s="2" t="s">
        <v>268</v>
      </c>
      <c r="B27" s="8" t="s">
        <v>114</v>
      </c>
      <c r="C27" s="9" t="s">
        <v>34</v>
      </c>
      <c r="D27" s="6" t="s">
        <v>41</v>
      </c>
      <c r="E27" s="11"/>
      <c r="H27" s="7" t="s">
        <v>35</v>
      </c>
    </row>
    <row r="28" spans="1:8" ht="34" x14ac:dyDescent="0.2">
      <c r="A28" s="2" t="s">
        <v>269</v>
      </c>
      <c r="B28" s="13" t="s">
        <v>112</v>
      </c>
      <c r="C28" s="9" t="s">
        <v>34</v>
      </c>
      <c r="D28" s="6" t="s">
        <v>13</v>
      </c>
      <c r="H28" s="7" t="s">
        <v>47</v>
      </c>
    </row>
    <row r="29" spans="1:8" ht="34" x14ac:dyDescent="0.2">
      <c r="A29" s="2" t="s">
        <v>270</v>
      </c>
      <c r="B29" s="13" t="s">
        <v>66</v>
      </c>
      <c r="C29" s="9" t="s">
        <v>34</v>
      </c>
      <c r="D29" s="6" t="s">
        <v>109</v>
      </c>
      <c r="H29" s="7" t="s">
        <v>47</v>
      </c>
    </row>
    <row r="30" spans="1:8" ht="34" x14ac:dyDescent="0.2">
      <c r="A30" s="2" t="s">
        <v>271</v>
      </c>
      <c r="B30" s="8" t="s">
        <v>67</v>
      </c>
      <c r="C30" s="9" t="s">
        <v>34</v>
      </c>
      <c r="D30" s="6" t="s">
        <v>12</v>
      </c>
      <c r="H30" s="7" t="s">
        <v>35</v>
      </c>
    </row>
    <row r="31" spans="1:8" ht="16" x14ac:dyDescent="0.2">
      <c r="B31" s="15"/>
    </row>
    <row r="32" spans="1:8" ht="17" x14ac:dyDescent="0.2">
      <c r="B32" s="5" t="s">
        <v>68</v>
      </c>
    </row>
    <row r="33" spans="1:15" ht="34" x14ac:dyDescent="0.2">
      <c r="A33" s="2" t="s">
        <v>272</v>
      </c>
      <c r="B33" s="13" t="s">
        <v>115</v>
      </c>
      <c r="C33" s="9" t="s">
        <v>34</v>
      </c>
      <c r="D33" s="6" t="s">
        <v>30</v>
      </c>
      <c r="H33" s="7" t="s">
        <v>35</v>
      </c>
    </row>
    <row r="34" spans="1:15" ht="17" x14ac:dyDescent="0.2">
      <c r="A34" s="2" t="s">
        <v>273</v>
      </c>
      <c r="B34" s="13" t="s">
        <v>116</v>
      </c>
      <c r="C34" s="9" t="s">
        <v>34</v>
      </c>
      <c r="D34" s="6" t="s">
        <v>28</v>
      </c>
      <c r="H34" s="7" t="s">
        <v>35</v>
      </c>
    </row>
    <row r="35" spans="1:15" ht="17" x14ac:dyDescent="0.2">
      <c r="A35" s="2" t="s">
        <v>274</v>
      </c>
      <c r="B35" s="13" t="s">
        <v>117</v>
      </c>
      <c r="C35" s="9"/>
      <c r="D35" s="10"/>
      <c r="F35" s="6" t="s">
        <v>350</v>
      </c>
      <c r="H35" s="7" t="s">
        <v>47</v>
      </c>
    </row>
    <row r="36" spans="1:15" ht="32" x14ac:dyDescent="0.2">
      <c r="A36" s="2" t="s">
        <v>275</v>
      </c>
      <c r="B36" s="13" t="s">
        <v>5</v>
      </c>
      <c r="C36" s="9" t="s">
        <v>34</v>
      </c>
      <c r="D36" s="6" t="s">
        <v>104</v>
      </c>
      <c r="H36" s="7" t="s">
        <v>47</v>
      </c>
    </row>
    <row r="37" spans="1:15" ht="17" x14ac:dyDescent="0.2">
      <c r="A37" s="2" t="s">
        <v>276</v>
      </c>
      <c r="B37" s="13" t="s">
        <v>6</v>
      </c>
      <c r="C37" s="9" t="s">
        <v>34</v>
      </c>
      <c r="D37" s="10"/>
      <c r="E37" s="11"/>
      <c r="F37" s="6" t="s">
        <v>92</v>
      </c>
      <c r="H37" s="7" t="s">
        <v>47</v>
      </c>
      <c r="O37" s="23"/>
    </row>
    <row r="38" spans="1:15" ht="34" x14ac:dyDescent="0.2">
      <c r="A38" s="2" t="s">
        <v>277</v>
      </c>
      <c r="B38" s="8" t="s">
        <v>69</v>
      </c>
      <c r="C38" s="9" t="s">
        <v>34</v>
      </c>
      <c r="D38" s="12" t="s">
        <v>93</v>
      </c>
      <c r="H38" s="7" t="s">
        <v>47</v>
      </c>
    </row>
    <row r="39" spans="1:15" ht="17" x14ac:dyDescent="0.2">
      <c r="A39" s="2" t="s">
        <v>278</v>
      </c>
      <c r="B39" s="13" t="s">
        <v>118</v>
      </c>
      <c r="C39" s="9" t="s">
        <v>34</v>
      </c>
      <c r="D39" s="6" t="s">
        <v>29</v>
      </c>
      <c r="E39" s="11"/>
      <c r="H39" s="7" t="s">
        <v>47</v>
      </c>
    </row>
    <row r="40" spans="1:15" ht="17" x14ac:dyDescent="0.2">
      <c r="A40" s="2" t="s">
        <v>279</v>
      </c>
      <c r="B40" s="13" t="s">
        <v>119</v>
      </c>
      <c r="C40" s="9"/>
      <c r="D40" s="6" t="s">
        <v>94</v>
      </c>
      <c r="E40" s="11"/>
      <c r="H40" s="7" t="s">
        <v>35</v>
      </c>
    </row>
    <row r="41" spans="1:15" ht="17" x14ac:dyDescent="0.2">
      <c r="A41" s="2" t="s">
        <v>280</v>
      </c>
      <c r="B41" s="13" t="s">
        <v>120</v>
      </c>
      <c r="C41" s="9" t="s">
        <v>34</v>
      </c>
      <c r="D41" s="6" t="s">
        <v>31</v>
      </c>
      <c r="H41" s="7" t="s">
        <v>35</v>
      </c>
    </row>
    <row r="42" spans="1:15" ht="16" x14ac:dyDescent="0.2">
      <c r="B42" s="15"/>
    </row>
    <row r="43" spans="1:15" ht="16" x14ac:dyDescent="0.2">
      <c r="B43" s="5"/>
    </row>
    <row r="44" spans="1:15" ht="17" x14ac:dyDescent="0.2">
      <c r="B44" s="5" t="s">
        <v>7</v>
      </c>
    </row>
    <row r="45" spans="1:15" ht="17" x14ac:dyDescent="0.2">
      <c r="A45" s="2" t="s">
        <v>281</v>
      </c>
      <c r="B45" s="13" t="s">
        <v>333</v>
      </c>
      <c r="C45" s="9" t="s">
        <v>34</v>
      </c>
      <c r="D45" s="6" t="s">
        <v>23</v>
      </c>
      <c r="H45" s="7" t="s">
        <v>47</v>
      </c>
    </row>
    <row r="46" spans="1:15" ht="34" x14ac:dyDescent="0.2">
      <c r="A46" s="2" t="s">
        <v>282</v>
      </c>
      <c r="B46" s="8" t="s">
        <v>70</v>
      </c>
      <c r="C46" s="9" t="s">
        <v>34</v>
      </c>
      <c r="D46" s="10"/>
      <c r="F46" s="6" t="s">
        <v>96</v>
      </c>
      <c r="H46" s="7" t="s">
        <v>35</v>
      </c>
    </row>
    <row r="47" spans="1:15" ht="34" x14ac:dyDescent="0.2">
      <c r="A47" s="2" t="s">
        <v>283</v>
      </c>
      <c r="B47" s="13" t="s">
        <v>71</v>
      </c>
      <c r="C47" s="9" t="s">
        <v>34</v>
      </c>
      <c r="D47" s="10"/>
      <c r="F47" s="6" t="s">
        <v>140</v>
      </c>
      <c r="H47" s="7" t="s">
        <v>47</v>
      </c>
    </row>
    <row r="48" spans="1:15" ht="17" x14ac:dyDescent="0.2">
      <c r="A48" s="2" t="s">
        <v>284</v>
      </c>
      <c r="B48" s="13" t="s">
        <v>121</v>
      </c>
      <c r="C48" s="9" t="s">
        <v>34</v>
      </c>
      <c r="D48" s="6" t="s">
        <v>32</v>
      </c>
      <c r="H48" s="7" t="s">
        <v>35</v>
      </c>
    </row>
    <row r="49" spans="1:8" ht="34" x14ac:dyDescent="0.2">
      <c r="A49" s="2" t="s">
        <v>285</v>
      </c>
      <c r="B49" s="13" t="s">
        <v>122</v>
      </c>
      <c r="C49" s="9" t="s">
        <v>34</v>
      </c>
      <c r="D49" s="6" t="s">
        <v>26</v>
      </c>
      <c r="H49" s="7" t="s">
        <v>47</v>
      </c>
    </row>
    <row r="50" spans="1:8" ht="17" x14ac:dyDescent="0.2">
      <c r="A50" s="2" t="s">
        <v>286</v>
      </c>
      <c r="B50" s="13" t="s">
        <v>123</v>
      </c>
      <c r="C50" s="9" t="s">
        <v>34</v>
      </c>
      <c r="D50" s="6" t="s">
        <v>33</v>
      </c>
      <c r="H50" s="7" t="s">
        <v>35</v>
      </c>
    </row>
    <row r="51" spans="1:8" ht="17" x14ac:dyDescent="0.2">
      <c r="A51" s="2" t="s">
        <v>287</v>
      </c>
      <c r="B51" s="13" t="s">
        <v>124</v>
      </c>
      <c r="C51" s="9" t="s">
        <v>34</v>
      </c>
      <c r="D51" s="6" t="s">
        <v>24</v>
      </c>
      <c r="H51" s="7" t="s">
        <v>47</v>
      </c>
    </row>
    <row r="52" spans="1:8" ht="16" x14ac:dyDescent="0.2">
      <c r="B52" s="5"/>
    </row>
    <row r="53" spans="1:8" ht="17" x14ac:dyDescent="0.2">
      <c r="B53" s="19" t="s">
        <v>72</v>
      </c>
    </row>
    <row r="54" spans="1:8" ht="32" x14ac:dyDescent="0.2">
      <c r="A54" s="2" t="s">
        <v>288</v>
      </c>
      <c r="B54" s="26" t="s">
        <v>125</v>
      </c>
      <c r="D54" s="10"/>
      <c r="F54" s="6" t="s">
        <v>88</v>
      </c>
      <c r="H54" s="7" t="s">
        <v>47</v>
      </c>
    </row>
    <row r="55" spans="1:8" ht="34" x14ac:dyDescent="0.2">
      <c r="A55" s="2" t="s">
        <v>289</v>
      </c>
      <c r="B55" s="13" t="s">
        <v>126</v>
      </c>
      <c r="C55" s="9" t="s">
        <v>34</v>
      </c>
      <c r="D55" s="6" t="s">
        <v>21</v>
      </c>
      <c r="H55" s="7" t="s">
        <v>47</v>
      </c>
    </row>
    <row r="56" spans="1:8" ht="34" x14ac:dyDescent="0.2">
      <c r="A56" s="2" t="s">
        <v>290</v>
      </c>
      <c r="B56" s="13" t="s">
        <v>73</v>
      </c>
      <c r="C56" s="9" t="s">
        <v>34</v>
      </c>
      <c r="D56" s="35"/>
      <c r="F56" s="6" t="s">
        <v>346</v>
      </c>
      <c r="H56" s="7" t="s">
        <v>35</v>
      </c>
    </row>
    <row r="57" spans="1:8" ht="34" x14ac:dyDescent="0.2">
      <c r="A57" s="2" t="s">
        <v>291</v>
      </c>
      <c r="B57" s="13" t="s">
        <v>127</v>
      </c>
      <c r="C57" s="9" t="s">
        <v>34</v>
      </c>
      <c r="D57" s="6" t="s">
        <v>25</v>
      </c>
      <c r="H57" s="7" t="s">
        <v>35</v>
      </c>
    </row>
    <row r="58" spans="1:8" ht="16" x14ac:dyDescent="0.2">
      <c r="B58" s="15"/>
    </row>
    <row r="59" spans="1:8" ht="16" x14ac:dyDescent="0.2">
      <c r="B59" s="5"/>
    </row>
    <row r="60" spans="1:8" ht="26" x14ac:dyDescent="0.2">
      <c r="B60" s="1" t="s">
        <v>8</v>
      </c>
    </row>
    <row r="61" spans="1:8" ht="16" x14ac:dyDescent="0.2">
      <c r="B61" s="5"/>
    </row>
    <row r="62" spans="1:8" ht="34" x14ac:dyDescent="0.2">
      <c r="B62" s="5" t="s">
        <v>9</v>
      </c>
    </row>
    <row r="63" spans="1:8" ht="17" x14ac:dyDescent="0.2">
      <c r="B63" s="5" t="s">
        <v>4</v>
      </c>
    </row>
    <row r="64" spans="1:8" ht="17" x14ac:dyDescent="0.2">
      <c r="A64" s="2" t="s">
        <v>292</v>
      </c>
      <c r="B64" s="13" t="s">
        <v>128</v>
      </c>
      <c r="C64" s="9" t="s">
        <v>34</v>
      </c>
      <c r="D64" s="6" t="s">
        <v>22</v>
      </c>
      <c r="H64" s="7" t="s">
        <v>47</v>
      </c>
    </row>
    <row r="65" spans="1:8" ht="17" x14ac:dyDescent="0.2">
      <c r="A65" s="2" t="s">
        <v>293</v>
      </c>
      <c r="B65" s="13" t="s">
        <v>129</v>
      </c>
      <c r="C65" s="9" t="s">
        <v>34</v>
      </c>
      <c r="D65" s="6" t="s">
        <v>20</v>
      </c>
      <c r="H65" s="7" t="s">
        <v>47</v>
      </c>
    </row>
    <row r="66" spans="1:8" ht="34" x14ac:dyDescent="0.2">
      <c r="A66" s="2" t="s">
        <v>294</v>
      </c>
      <c r="B66" s="8" t="s">
        <v>74</v>
      </c>
      <c r="C66" s="9" t="s">
        <v>34</v>
      </c>
      <c r="D66" s="14" t="s">
        <v>102</v>
      </c>
      <c r="E66" s="11"/>
      <c r="H66" s="7" t="s">
        <v>35</v>
      </c>
    </row>
    <row r="67" spans="1:8" ht="16" x14ac:dyDescent="0.2">
      <c r="B67" s="5"/>
    </row>
    <row r="68" spans="1:8" ht="16" x14ac:dyDescent="0.2">
      <c r="B68" s="15"/>
    </row>
    <row r="69" spans="1:8" ht="16" x14ac:dyDescent="0.2">
      <c r="B69" s="5"/>
    </row>
    <row r="70" spans="1:8" ht="17" x14ac:dyDescent="0.2">
      <c r="B70" s="5" t="s">
        <v>75</v>
      </c>
    </row>
    <row r="71" spans="1:8" ht="16" x14ac:dyDescent="0.2">
      <c r="A71" s="2" t="s">
        <v>295</v>
      </c>
      <c r="B71" s="20" t="s">
        <v>130</v>
      </c>
      <c r="D71" s="10"/>
      <c r="F71" s="6" t="s">
        <v>353</v>
      </c>
      <c r="H71" s="7" t="s">
        <v>35</v>
      </c>
    </row>
    <row r="72" spans="1:8" ht="17" x14ac:dyDescent="0.2">
      <c r="A72" s="2" t="s">
        <v>296</v>
      </c>
      <c r="B72" s="13" t="s">
        <v>131</v>
      </c>
      <c r="C72" s="9" t="s">
        <v>34</v>
      </c>
      <c r="D72" s="12" t="s">
        <v>45</v>
      </c>
      <c r="H72" s="7" t="s">
        <v>35</v>
      </c>
    </row>
    <row r="73" spans="1:8" ht="51" x14ac:dyDescent="0.2">
      <c r="A73" s="2" t="s">
        <v>297</v>
      </c>
      <c r="B73" s="13" t="s">
        <v>76</v>
      </c>
      <c r="C73" s="9" t="s">
        <v>34</v>
      </c>
      <c r="D73" s="6" t="s">
        <v>40</v>
      </c>
      <c r="H73" s="7" t="s">
        <v>47</v>
      </c>
    </row>
    <row r="74" spans="1:8" ht="34" x14ac:dyDescent="0.2">
      <c r="A74" s="2" t="s">
        <v>298</v>
      </c>
      <c r="B74" s="13" t="s">
        <v>77</v>
      </c>
      <c r="C74" s="9" t="s">
        <v>34</v>
      </c>
      <c r="D74" s="6" t="s">
        <v>27</v>
      </c>
      <c r="E74" s="11"/>
      <c r="H74" s="7" t="s">
        <v>35</v>
      </c>
    </row>
    <row r="75" spans="1:8" ht="16" x14ac:dyDescent="0.2">
      <c r="B75" s="5"/>
    </row>
    <row r="76" spans="1:8" ht="16" x14ac:dyDescent="0.2">
      <c r="B76" s="5"/>
    </row>
    <row r="77" spans="1:8" ht="26" x14ac:dyDescent="0.2">
      <c r="B77" s="1" t="s">
        <v>78</v>
      </c>
    </row>
    <row r="78" spans="1:8" x14ac:dyDescent="0.2">
      <c r="B78" s="17" t="s">
        <v>79</v>
      </c>
    </row>
    <row r="79" spans="1:8" ht="34" x14ac:dyDescent="0.2">
      <c r="A79" s="2" t="s">
        <v>299</v>
      </c>
      <c r="B79" s="16" t="s">
        <v>132</v>
      </c>
      <c r="C79" s="9" t="s">
        <v>34</v>
      </c>
      <c r="D79" s="6" t="s">
        <v>15</v>
      </c>
      <c r="H79" s="7" t="s">
        <v>48</v>
      </c>
    </row>
    <row r="80" spans="1:8" ht="34" x14ac:dyDescent="0.2">
      <c r="A80" s="2" t="s">
        <v>300</v>
      </c>
      <c r="B80" s="16" t="s">
        <v>80</v>
      </c>
      <c r="C80" s="9" t="s">
        <v>34</v>
      </c>
      <c r="D80" s="10"/>
      <c r="F80" s="6" t="s">
        <v>358</v>
      </c>
      <c r="H80" s="7" t="s">
        <v>48</v>
      </c>
    </row>
    <row r="81" spans="1:8" ht="17" x14ac:dyDescent="0.2">
      <c r="A81" s="2" t="s">
        <v>301</v>
      </c>
      <c r="B81" s="16" t="s">
        <v>133</v>
      </c>
      <c r="C81" s="9" t="s">
        <v>34</v>
      </c>
      <c r="D81" s="12" t="s">
        <v>97</v>
      </c>
      <c r="H81" s="7" t="s">
        <v>36</v>
      </c>
    </row>
    <row r="82" spans="1:8" ht="32" x14ac:dyDescent="0.2">
      <c r="A82" s="2" t="s">
        <v>302</v>
      </c>
      <c r="B82" s="16" t="s">
        <v>134</v>
      </c>
      <c r="C82" s="9" t="s">
        <v>34</v>
      </c>
      <c r="D82" s="25" t="s">
        <v>16</v>
      </c>
      <c r="H82" s="7" t="s">
        <v>48</v>
      </c>
    </row>
    <row r="83" spans="1:8" ht="16" x14ac:dyDescent="0.2">
      <c r="A83" s="2" t="s">
        <v>303</v>
      </c>
      <c r="B83" s="21" t="s">
        <v>81</v>
      </c>
      <c r="F83" s="6" t="s">
        <v>363</v>
      </c>
      <c r="H83" s="7" t="s">
        <v>48</v>
      </c>
    </row>
    <row r="84" spans="1:8" ht="34" x14ac:dyDescent="0.2">
      <c r="A84" s="2" t="s">
        <v>304</v>
      </c>
      <c r="B84" s="16" t="s">
        <v>82</v>
      </c>
      <c r="C84" s="9" t="s">
        <v>34</v>
      </c>
      <c r="D84" s="6" t="s">
        <v>18</v>
      </c>
      <c r="F84" s="6" t="s">
        <v>19</v>
      </c>
      <c r="H84" s="7" t="s">
        <v>48</v>
      </c>
    </row>
    <row r="85" spans="1:8" ht="17" x14ac:dyDescent="0.2">
      <c r="A85" s="2" t="s">
        <v>305</v>
      </c>
      <c r="B85" s="16" t="s">
        <v>135</v>
      </c>
      <c r="C85" s="9" t="s">
        <v>34</v>
      </c>
      <c r="D85" s="6" t="s">
        <v>103</v>
      </c>
      <c r="H85" s="7" t="s">
        <v>48</v>
      </c>
    </row>
    <row r="86" spans="1:8" ht="34" x14ac:dyDescent="0.2">
      <c r="A86" s="2" t="s">
        <v>306</v>
      </c>
      <c r="B86" s="16" t="s">
        <v>136</v>
      </c>
      <c r="C86" s="9"/>
      <c r="D86" s="6" t="s">
        <v>89</v>
      </c>
      <c r="F86" s="6" t="s">
        <v>105</v>
      </c>
      <c r="H86" s="7" t="s">
        <v>48</v>
      </c>
    </row>
    <row r="87" spans="1:8" ht="34" x14ac:dyDescent="0.2">
      <c r="A87" s="2" t="s">
        <v>307</v>
      </c>
      <c r="B87" s="16" t="s">
        <v>137</v>
      </c>
      <c r="C87" s="9" t="s">
        <v>34</v>
      </c>
      <c r="D87" s="6" t="s">
        <v>17</v>
      </c>
      <c r="H87" s="7" t="s">
        <v>48</v>
      </c>
    </row>
    <row r="88" spans="1:8" ht="17" x14ac:dyDescent="0.2">
      <c r="A88" s="2" t="s">
        <v>308</v>
      </c>
      <c r="B88" s="16" t="s">
        <v>138</v>
      </c>
      <c r="C88" s="9" t="s">
        <v>34</v>
      </c>
      <c r="D88" s="6" t="s">
        <v>44</v>
      </c>
      <c r="H88" s="7" t="s">
        <v>48</v>
      </c>
    </row>
    <row r="89" spans="1:8" ht="16" x14ac:dyDescent="0.2">
      <c r="A89" s="2" t="s">
        <v>309</v>
      </c>
      <c r="B89" s="21" t="s">
        <v>83</v>
      </c>
      <c r="C89" s="9"/>
      <c r="D89" s="10"/>
      <c r="F89" s="6" t="s">
        <v>370</v>
      </c>
      <c r="H89" s="7" t="s">
        <v>107</v>
      </c>
    </row>
    <row r="90" spans="1:8" x14ac:dyDescent="0.2">
      <c r="B90" s="18"/>
      <c r="C90" s="9"/>
    </row>
    <row r="91" spans="1:8" x14ac:dyDescent="0.2">
      <c r="B91" s="17" t="s">
        <v>84</v>
      </c>
      <c r="C91" s="9"/>
    </row>
    <row r="92" spans="1:8" ht="17" x14ac:dyDescent="0.2">
      <c r="A92" s="2" t="s">
        <v>310</v>
      </c>
      <c r="B92" s="16" t="s">
        <v>85</v>
      </c>
      <c r="C92" s="9"/>
      <c r="D92" s="6" t="s">
        <v>90</v>
      </c>
      <c r="H92" s="7" t="s">
        <v>107</v>
      </c>
    </row>
    <row r="93" spans="1:8" ht="16" x14ac:dyDescent="0.2">
      <c r="A93" s="2" t="s">
        <v>311</v>
      </c>
      <c r="B93" s="22" t="s">
        <v>86</v>
      </c>
      <c r="D93" s="10"/>
      <c r="F93" s="6" t="s">
        <v>372</v>
      </c>
      <c r="H93" s="7" t="s">
        <v>36</v>
      </c>
    </row>
    <row r="94" spans="1:8" ht="16" x14ac:dyDescent="0.2">
      <c r="A94" s="2" t="s">
        <v>312</v>
      </c>
      <c r="B94" s="22" t="s">
        <v>98</v>
      </c>
      <c r="D94" s="6" t="s">
        <v>99</v>
      </c>
    </row>
    <row r="98" spans="2:2" ht="16" x14ac:dyDescent="0.2">
      <c r="B98" s="5"/>
    </row>
    <row r="101" spans="2:2" ht="16" x14ac:dyDescent="0.2">
      <c r="B101" s="6" t="s">
        <v>38</v>
      </c>
    </row>
    <row r="102" spans="2:2" ht="16" x14ac:dyDescent="0.2">
      <c r="B102" s="6" t="s">
        <v>100</v>
      </c>
    </row>
    <row r="103" spans="2:2" ht="16" x14ac:dyDescent="0.2">
      <c r="B103" s="6" t="s">
        <v>101</v>
      </c>
    </row>
    <row r="104" spans="2:2" ht="16" x14ac:dyDescent="0.2">
      <c r="B104" s="6" t="s">
        <v>10</v>
      </c>
    </row>
    <row r="105" spans="2:2" ht="16" x14ac:dyDescent="0.2">
      <c r="B105" s="6" t="s">
        <v>42</v>
      </c>
    </row>
    <row r="106" spans="2:2" ht="16" x14ac:dyDescent="0.2">
      <c r="B106" s="6" t="s">
        <v>110</v>
      </c>
    </row>
  </sheetData>
  <phoneticPr fontId="15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8396-277B-4F45-A428-66228B45A5EE}">
  <dimension ref="A1:B94"/>
  <sheetViews>
    <sheetView workbookViewId="0">
      <selection activeCell="B1" sqref="A1:B1048576"/>
    </sheetView>
  </sheetViews>
  <sheetFormatPr baseColWidth="10" defaultRowHeight="15" x14ac:dyDescent="0.2"/>
  <cols>
    <col min="1" max="1" width="21.6640625" style="2" customWidth="1"/>
    <col min="2" max="2" width="21.6640625" style="6" customWidth="1"/>
  </cols>
  <sheetData>
    <row r="1" spans="1:2" ht="16" x14ac:dyDescent="0.2">
      <c r="A1" s="2" t="s">
        <v>377</v>
      </c>
      <c r="B1" s="6" t="s">
        <v>378</v>
      </c>
    </row>
    <row r="3" spans="1:2" ht="16" x14ac:dyDescent="0.2">
      <c r="B3" s="37" t="s">
        <v>374</v>
      </c>
    </row>
    <row r="9" spans="1:2" x14ac:dyDescent="0.2">
      <c r="A9" s="2" t="s">
        <v>259</v>
      </c>
      <c r="B9" s="10"/>
    </row>
    <row r="10" spans="1:2" ht="16" x14ac:dyDescent="0.2">
      <c r="A10" s="2" t="s">
        <v>260</v>
      </c>
      <c r="B10" s="6" t="s">
        <v>95</v>
      </c>
    </row>
    <row r="11" spans="1:2" ht="16" x14ac:dyDescent="0.2">
      <c r="A11" s="2" t="s">
        <v>261</v>
      </c>
      <c r="B11" s="12" t="s">
        <v>46</v>
      </c>
    </row>
    <row r="12" spans="1:2" ht="32" x14ac:dyDescent="0.2">
      <c r="A12" s="2" t="s">
        <v>262</v>
      </c>
      <c r="B12" s="6" t="s">
        <v>39</v>
      </c>
    </row>
    <row r="20" spans="1:2" x14ac:dyDescent="0.2">
      <c r="A20" s="2" t="s">
        <v>263</v>
      </c>
      <c r="B20" s="10"/>
    </row>
    <row r="21" spans="1:2" ht="16" x14ac:dyDescent="0.2">
      <c r="A21" s="2" t="s">
        <v>264</v>
      </c>
      <c r="B21" s="25" t="s">
        <v>11</v>
      </c>
    </row>
    <row r="22" spans="1:2" x14ac:dyDescent="0.2">
      <c r="A22" s="2" t="s">
        <v>265</v>
      </c>
      <c r="B22" s="10"/>
    </row>
    <row r="23" spans="1:2" ht="16" x14ac:dyDescent="0.2">
      <c r="A23" s="2" t="s">
        <v>266</v>
      </c>
      <c r="B23" s="14" t="s">
        <v>43</v>
      </c>
    </row>
    <row r="26" spans="1:2" ht="16" x14ac:dyDescent="0.2">
      <c r="A26" s="2" t="s">
        <v>267</v>
      </c>
      <c r="B26" s="6" t="s">
        <v>329</v>
      </c>
    </row>
    <row r="27" spans="1:2" ht="32" x14ac:dyDescent="0.2">
      <c r="A27" s="2" t="s">
        <v>268</v>
      </c>
      <c r="B27" s="6" t="s">
        <v>41</v>
      </c>
    </row>
    <row r="28" spans="1:2" ht="16" x14ac:dyDescent="0.2">
      <c r="A28" s="2" t="s">
        <v>269</v>
      </c>
      <c r="B28" s="6" t="s">
        <v>13</v>
      </c>
    </row>
    <row r="29" spans="1:2" ht="32" x14ac:dyDescent="0.2">
      <c r="A29" s="2" t="s">
        <v>270</v>
      </c>
      <c r="B29" s="6" t="s">
        <v>109</v>
      </c>
    </row>
    <row r="30" spans="1:2" ht="32" x14ac:dyDescent="0.2">
      <c r="A30" s="2" t="s">
        <v>271</v>
      </c>
      <c r="B30" s="6" t="s">
        <v>12</v>
      </c>
    </row>
    <row r="33" spans="1:2" ht="16" x14ac:dyDescent="0.2">
      <c r="A33" s="2" t="s">
        <v>272</v>
      </c>
      <c r="B33" s="6" t="s">
        <v>30</v>
      </c>
    </row>
    <row r="34" spans="1:2" ht="16" x14ac:dyDescent="0.2">
      <c r="A34" s="2" t="s">
        <v>273</v>
      </c>
      <c r="B34" s="6" t="s">
        <v>28</v>
      </c>
    </row>
    <row r="35" spans="1:2" x14ac:dyDescent="0.2">
      <c r="A35" s="2" t="s">
        <v>274</v>
      </c>
      <c r="B35" s="10"/>
    </row>
    <row r="36" spans="1:2" ht="32" x14ac:dyDescent="0.2">
      <c r="A36" s="2" t="s">
        <v>275</v>
      </c>
      <c r="B36" s="6" t="s">
        <v>104</v>
      </c>
    </row>
    <row r="37" spans="1:2" x14ac:dyDescent="0.2">
      <c r="A37" s="2" t="s">
        <v>276</v>
      </c>
      <c r="B37" s="10"/>
    </row>
    <row r="38" spans="1:2" ht="16" x14ac:dyDescent="0.2">
      <c r="A38" s="2" t="s">
        <v>277</v>
      </c>
      <c r="B38" s="12" t="s">
        <v>93</v>
      </c>
    </row>
    <row r="39" spans="1:2" ht="16" x14ac:dyDescent="0.2">
      <c r="A39" s="2" t="s">
        <v>278</v>
      </c>
      <c r="B39" s="6" t="s">
        <v>29</v>
      </c>
    </row>
    <row r="40" spans="1:2" ht="16" x14ac:dyDescent="0.2">
      <c r="A40" s="2" t="s">
        <v>279</v>
      </c>
      <c r="B40" s="6" t="s">
        <v>94</v>
      </c>
    </row>
    <row r="41" spans="1:2" ht="16" x14ac:dyDescent="0.2">
      <c r="A41" s="2" t="s">
        <v>280</v>
      </c>
      <c r="B41" s="6" t="s">
        <v>31</v>
      </c>
    </row>
    <row r="45" spans="1:2" ht="16" x14ac:dyDescent="0.2">
      <c r="A45" s="2" t="s">
        <v>281</v>
      </c>
      <c r="B45" s="6" t="s">
        <v>23</v>
      </c>
    </row>
    <row r="46" spans="1:2" x14ac:dyDescent="0.2">
      <c r="A46" s="2" t="s">
        <v>282</v>
      </c>
      <c r="B46" s="10"/>
    </row>
    <row r="47" spans="1:2" x14ac:dyDescent="0.2">
      <c r="A47" s="2" t="s">
        <v>283</v>
      </c>
      <c r="B47" s="10"/>
    </row>
    <row r="48" spans="1:2" ht="16" x14ac:dyDescent="0.2">
      <c r="A48" s="2" t="s">
        <v>284</v>
      </c>
      <c r="B48" s="6" t="s">
        <v>32</v>
      </c>
    </row>
    <row r="49" spans="1:2" ht="32" x14ac:dyDescent="0.2">
      <c r="A49" s="2" t="s">
        <v>285</v>
      </c>
      <c r="B49" s="6" t="s">
        <v>26</v>
      </c>
    </row>
    <row r="50" spans="1:2" ht="16" x14ac:dyDescent="0.2">
      <c r="A50" s="2" t="s">
        <v>286</v>
      </c>
      <c r="B50" s="6" t="s">
        <v>33</v>
      </c>
    </row>
    <row r="51" spans="1:2" ht="16" x14ac:dyDescent="0.2">
      <c r="A51" s="2" t="s">
        <v>287</v>
      </c>
      <c r="B51" s="6" t="s">
        <v>24</v>
      </c>
    </row>
    <row r="54" spans="1:2" x14ac:dyDescent="0.2">
      <c r="A54" s="2" t="s">
        <v>288</v>
      </c>
      <c r="B54" s="10"/>
    </row>
    <row r="55" spans="1:2" ht="16" x14ac:dyDescent="0.2">
      <c r="A55" s="2" t="s">
        <v>289</v>
      </c>
      <c r="B55" s="6" t="s">
        <v>21</v>
      </c>
    </row>
    <row r="56" spans="1:2" x14ac:dyDescent="0.2">
      <c r="A56" s="2" t="s">
        <v>290</v>
      </c>
      <c r="B56" s="35"/>
    </row>
    <row r="57" spans="1:2" ht="16" x14ac:dyDescent="0.2">
      <c r="A57" s="2" t="s">
        <v>291</v>
      </c>
      <c r="B57" s="6" t="s">
        <v>25</v>
      </c>
    </row>
    <row r="64" spans="1:2" ht="16" x14ac:dyDescent="0.2">
      <c r="A64" s="2" t="s">
        <v>292</v>
      </c>
      <c r="B64" s="6" t="s">
        <v>22</v>
      </c>
    </row>
    <row r="65" spans="1:2" ht="16" x14ac:dyDescent="0.2">
      <c r="A65" s="2" t="s">
        <v>293</v>
      </c>
      <c r="B65" s="6" t="s">
        <v>20</v>
      </c>
    </row>
    <row r="66" spans="1:2" ht="16" x14ac:dyDescent="0.2">
      <c r="A66" s="2" t="s">
        <v>294</v>
      </c>
      <c r="B66" s="14" t="s">
        <v>102</v>
      </c>
    </row>
    <row r="71" spans="1:2" x14ac:dyDescent="0.2">
      <c r="A71" s="2" t="s">
        <v>295</v>
      </c>
      <c r="B71" s="10"/>
    </row>
    <row r="72" spans="1:2" ht="16" x14ac:dyDescent="0.2">
      <c r="A72" s="2" t="s">
        <v>296</v>
      </c>
      <c r="B72" s="12" t="s">
        <v>45</v>
      </c>
    </row>
    <row r="73" spans="1:2" ht="32" x14ac:dyDescent="0.2">
      <c r="A73" s="2" t="s">
        <v>297</v>
      </c>
      <c r="B73" s="6" t="s">
        <v>40</v>
      </c>
    </row>
    <row r="74" spans="1:2" ht="16" x14ac:dyDescent="0.2">
      <c r="A74" s="2" t="s">
        <v>298</v>
      </c>
      <c r="B74" s="6" t="s">
        <v>27</v>
      </c>
    </row>
    <row r="79" spans="1:2" ht="16" x14ac:dyDescent="0.2">
      <c r="A79" s="2" t="s">
        <v>299</v>
      </c>
      <c r="B79" s="6" t="s">
        <v>15</v>
      </c>
    </row>
    <row r="80" spans="1:2" x14ac:dyDescent="0.2">
      <c r="A80" s="2" t="s">
        <v>300</v>
      </c>
      <c r="B80" s="10"/>
    </row>
    <row r="81" spans="1:2" ht="16" x14ac:dyDescent="0.2">
      <c r="A81" s="2" t="s">
        <v>301</v>
      </c>
      <c r="B81" s="12" t="s">
        <v>97</v>
      </c>
    </row>
    <row r="82" spans="1:2" ht="32" x14ac:dyDescent="0.2">
      <c r="A82" s="2" t="s">
        <v>302</v>
      </c>
      <c r="B82" s="25" t="s">
        <v>16</v>
      </c>
    </row>
    <row r="83" spans="1:2" x14ac:dyDescent="0.2">
      <c r="A83" s="2" t="s">
        <v>303</v>
      </c>
    </row>
    <row r="84" spans="1:2" ht="16" x14ac:dyDescent="0.2">
      <c r="A84" s="2" t="s">
        <v>304</v>
      </c>
      <c r="B84" s="6" t="s">
        <v>18</v>
      </c>
    </row>
    <row r="85" spans="1:2" ht="16" x14ac:dyDescent="0.2">
      <c r="A85" s="2" t="s">
        <v>305</v>
      </c>
      <c r="B85" s="6" t="s">
        <v>103</v>
      </c>
    </row>
    <row r="86" spans="1:2" ht="16" x14ac:dyDescent="0.2">
      <c r="A86" s="2" t="s">
        <v>306</v>
      </c>
      <c r="B86" s="6" t="s">
        <v>89</v>
      </c>
    </row>
    <row r="87" spans="1:2" ht="32" x14ac:dyDescent="0.2">
      <c r="A87" s="2" t="s">
        <v>307</v>
      </c>
      <c r="B87" s="6" t="s">
        <v>17</v>
      </c>
    </row>
    <row r="88" spans="1:2" ht="16" x14ac:dyDescent="0.2">
      <c r="A88" s="2" t="s">
        <v>308</v>
      </c>
      <c r="B88" s="6" t="s">
        <v>44</v>
      </c>
    </row>
    <row r="89" spans="1:2" x14ac:dyDescent="0.2">
      <c r="A89" s="2" t="s">
        <v>309</v>
      </c>
      <c r="B89" s="10"/>
    </row>
    <row r="92" spans="1:2" ht="16" x14ac:dyDescent="0.2">
      <c r="A92" s="2" t="s">
        <v>310</v>
      </c>
      <c r="B92" s="6" t="s">
        <v>90</v>
      </c>
    </row>
    <row r="93" spans="1:2" x14ac:dyDescent="0.2">
      <c r="A93" s="2" t="s">
        <v>311</v>
      </c>
      <c r="B93" s="10"/>
    </row>
    <row r="94" spans="1:2" ht="16" x14ac:dyDescent="0.2">
      <c r="A94" s="2" t="s">
        <v>312</v>
      </c>
      <c r="B94" s="6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E18B-C86F-4BD8-863A-DDBEDFF04B63}">
  <dimension ref="B3:S86"/>
  <sheetViews>
    <sheetView topLeftCell="D30" workbookViewId="0">
      <selection activeCell="J10" sqref="J10"/>
    </sheetView>
  </sheetViews>
  <sheetFormatPr baseColWidth="10" defaultRowHeight="15" x14ac:dyDescent="0.2"/>
  <cols>
    <col min="2" max="2" width="62.83203125" customWidth="1"/>
    <col min="4" max="4" width="25.6640625" customWidth="1"/>
    <col min="6" max="6" width="33" customWidth="1"/>
    <col min="7" max="7" width="34.6640625" customWidth="1"/>
    <col min="10" max="10" width="4.33203125" customWidth="1"/>
    <col min="11" max="11" width="71.33203125" customWidth="1"/>
  </cols>
  <sheetData>
    <row r="3" spans="2:11" x14ac:dyDescent="0.2">
      <c r="E3" t="s">
        <v>232</v>
      </c>
      <c r="F3" t="s">
        <v>231</v>
      </c>
      <c r="G3" t="s">
        <v>254</v>
      </c>
      <c r="I3" t="s">
        <v>255</v>
      </c>
    </row>
    <row r="4" spans="2:11" x14ac:dyDescent="0.2">
      <c r="B4" s="27" t="s">
        <v>141</v>
      </c>
    </row>
    <row r="5" spans="2:11" x14ac:dyDescent="0.2">
      <c r="B5" s="28" t="s">
        <v>142</v>
      </c>
    </row>
    <row r="6" spans="2:11" x14ac:dyDescent="0.2">
      <c r="B6" s="28" t="s">
        <v>143</v>
      </c>
      <c r="E6">
        <v>1</v>
      </c>
      <c r="F6" t="s">
        <v>208</v>
      </c>
      <c r="G6" t="s">
        <v>209</v>
      </c>
      <c r="I6" s="31" t="s">
        <v>34</v>
      </c>
      <c r="J6" s="31">
        <v>2</v>
      </c>
      <c r="K6" t="s">
        <v>256</v>
      </c>
    </row>
    <row r="7" spans="2:11" s="33" customFormat="1" x14ac:dyDescent="0.2">
      <c r="B7" s="36" t="s">
        <v>144</v>
      </c>
      <c r="E7" s="33">
        <v>2</v>
      </c>
      <c r="F7" s="33" t="s">
        <v>189</v>
      </c>
      <c r="G7" s="33" t="s">
        <v>190</v>
      </c>
      <c r="I7" s="32" t="s">
        <v>34</v>
      </c>
      <c r="J7" s="32"/>
      <c r="K7" s="33" t="s">
        <v>376</v>
      </c>
    </row>
    <row r="8" spans="2:11" s="33" customFormat="1" x14ac:dyDescent="0.2">
      <c r="B8" s="36" t="s">
        <v>145</v>
      </c>
      <c r="E8" s="33">
        <v>3</v>
      </c>
      <c r="F8" s="33" t="s">
        <v>204</v>
      </c>
      <c r="G8" s="33" t="s">
        <v>205</v>
      </c>
      <c r="I8" s="32" t="s">
        <v>34</v>
      </c>
      <c r="J8" s="32"/>
      <c r="K8" s="33" t="s">
        <v>376</v>
      </c>
    </row>
    <row r="9" spans="2:11" s="33" customFormat="1" x14ac:dyDescent="0.2">
      <c r="B9" s="36" t="s">
        <v>146</v>
      </c>
      <c r="E9" s="33">
        <v>4</v>
      </c>
      <c r="F9" s="36" t="s">
        <v>248</v>
      </c>
      <c r="G9" s="33" t="s">
        <v>247</v>
      </c>
      <c r="I9" s="32" t="s">
        <v>34</v>
      </c>
      <c r="J9" s="32"/>
      <c r="K9" s="33" t="s">
        <v>376</v>
      </c>
    </row>
    <row r="10" spans="2:11" x14ac:dyDescent="0.2">
      <c r="B10" s="28" t="s">
        <v>147</v>
      </c>
      <c r="E10">
        <v>5</v>
      </c>
      <c r="F10" t="s">
        <v>239</v>
      </c>
      <c r="G10" t="s">
        <v>239</v>
      </c>
      <c r="I10" s="31" t="s">
        <v>34</v>
      </c>
      <c r="J10" s="31">
        <v>52</v>
      </c>
      <c r="K10" t="s">
        <v>85</v>
      </c>
    </row>
    <row r="11" spans="2:11" x14ac:dyDescent="0.2">
      <c r="B11" s="28"/>
    </row>
    <row r="12" spans="2:11" x14ac:dyDescent="0.2">
      <c r="B12" s="28"/>
    </row>
    <row r="13" spans="2:11" x14ac:dyDescent="0.2">
      <c r="B13" s="28"/>
    </row>
    <row r="14" spans="2:11" x14ac:dyDescent="0.2">
      <c r="B14" s="27" t="s">
        <v>148</v>
      </c>
    </row>
    <row r="15" spans="2:11" x14ac:dyDescent="0.2">
      <c r="B15" s="28"/>
    </row>
    <row r="16" spans="2:11" x14ac:dyDescent="0.2">
      <c r="B16" s="29" t="s">
        <v>149</v>
      </c>
    </row>
    <row r="17" spans="2:19" x14ac:dyDescent="0.2">
      <c r="B17" s="28" t="s">
        <v>45</v>
      </c>
      <c r="E17">
        <v>6</v>
      </c>
      <c r="F17" s="28" t="s">
        <v>45</v>
      </c>
      <c r="G17" t="s">
        <v>245</v>
      </c>
      <c r="I17" s="31" t="s">
        <v>34</v>
      </c>
      <c r="J17" s="31">
        <v>38</v>
      </c>
      <c r="K17" t="s">
        <v>354</v>
      </c>
    </row>
    <row r="18" spans="2:19" x14ac:dyDescent="0.2">
      <c r="B18" s="28" t="s">
        <v>14</v>
      </c>
      <c r="E18">
        <v>7</v>
      </c>
      <c r="F18" s="28" t="s">
        <v>14</v>
      </c>
      <c r="G18" t="s">
        <v>240</v>
      </c>
      <c r="I18" s="31" t="s">
        <v>34</v>
      </c>
      <c r="J18" s="31">
        <v>19</v>
      </c>
      <c r="K18" t="s">
        <v>328</v>
      </c>
    </row>
    <row r="19" spans="2:19" x14ac:dyDescent="0.2">
      <c r="B19" s="28" t="s">
        <v>46</v>
      </c>
      <c r="E19">
        <v>8</v>
      </c>
      <c r="F19" t="s">
        <v>46</v>
      </c>
      <c r="G19" t="s">
        <v>217</v>
      </c>
      <c r="I19" s="31" t="s">
        <v>34</v>
      </c>
      <c r="J19" s="31">
        <v>3</v>
      </c>
      <c r="K19" t="s">
        <v>257</v>
      </c>
    </row>
    <row r="20" spans="2:19" x14ac:dyDescent="0.2">
      <c r="B20" s="28" t="s">
        <v>97</v>
      </c>
      <c r="E20">
        <v>9</v>
      </c>
      <c r="F20" s="28" t="s">
        <v>97</v>
      </c>
      <c r="G20" t="s">
        <v>241</v>
      </c>
      <c r="I20" s="31" t="s">
        <v>34</v>
      </c>
      <c r="J20" s="31">
        <v>43</v>
      </c>
      <c r="K20" t="s">
        <v>360</v>
      </c>
    </row>
    <row r="21" spans="2:19" x14ac:dyDescent="0.2">
      <c r="B21" s="28"/>
      <c r="I21" s="31"/>
      <c r="J21" s="31"/>
    </row>
    <row r="22" spans="2:19" x14ac:dyDescent="0.2">
      <c r="B22" s="29" t="s">
        <v>150</v>
      </c>
      <c r="I22" s="31"/>
      <c r="J22" s="31"/>
    </row>
    <row r="23" spans="2:19" x14ac:dyDescent="0.2">
      <c r="B23" s="28" t="s">
        <v>10</v>
      </c>
      <c r="E23">
        <v>10</v>
      </c>
      <c r="F23" t="s">
        <v>230</v>
      </c>
      <c r="G23" t="s">
        <v>229</v>
      </c>
      <c r="I23" s="31" t="s">
        <v>34</v>
      </c>
      <c r="J23" s="31">
        <v>9</v>
      </c>
      <c r="K23" t="s">
        <v>318</v>
      </c>
    </row>
    <row r="24" spans="2:19" x14ac:dyDescent="0.2">
      <c r="B24" s="28" t="s">
        <v>235</v>
      </c>
      <c r="E24">
        <v>11</v>
      </c>
      <c r="F24" t="s">
        <v>30</v>
      </c>
      <c r="G24" t="s">
        <v>184</v>
      </c>
      <c r="I24" s="31" t="s">
        <v>34</v>
      </c>
      <c r="J24" s="31">
        <v>14</v>
      </c>
      <c r="K24" t="s">
        <v>323</v>
      </c>
    </row>
    <row r="25" spans="2:19" x14ac:dyDescent="0.2">
      <c r="B25" s="28"/>
      <c r="C25" t="s">
        <v>29</v>
      </c>
      <c r="E25">
        <v>12</v>
      </c>
      <c r="F25" t="s">
        <v>29</v>
      </c>
      <c r="G25" t="s">
        <v>228</v>
      </c>
      <c r="I25" s="31" t="s">
        <v>34</v>
      </c>
      <c r="J25" s="31">
        <v>20</v>
      </c>
      <c r="K25" t="s">
        <v>330</v>
      </c>
    </row>
    <row r="26" spans="2:19" x14ac:dyDescent="0.2">
      <c r="B26" s="28"/>
      <c r="C26" t="s">
        <v>28</v>
      </c>
      <c r="E26">
        <v>13</v>
      </c>
      <c r="F26" t="s">
        <v>28</v>
      </c>
      <c r="G26" t="s">
        <v>236</v>
      </c>
      <c r="I26" s="31" t="s">
        <v>34</v>
      </c>
      <c r="J26" s="31">
        <v>15</v>
      </c>
      <c r="K26" t="s">
        <v>324</v>
      </c>
    </row>
    <row r="27" spans="2:19" s="33" customFormat="1" x14ac:dyDescent="0.2">
      <c r="B27" s="36"/>
      <c r="C27" s="33" t="s">
        <v>191</v>
      </c>
      <c r="E27" s="33">
        <v>14</v>
      </c>
      <c r="F27" s="33" t="s">
        <v>191</v>
      </c>
      <c r="G27" s="33" t="s">
        <v>192</v>
      </c>
      <c r="I27" s="32"/>
      <c r="J27" s="32"/>
    </row>
    <row r="28" spans="2:19" x14ac:dyDescent="0.2">
      <c r="B28" s="28" t="s">
        <v>234</v>
      </c>
      <c r="E28">
        <v>15</v>
      </c>
      <c r="F28" t="s">
        <v>31</v>
      </c>
      <c r="G28" t="s">
        <v>233</v>
      </c>
      <c r="I28" s="31" t="s">
        <v>34</v>
      </c>
      <c r="J28" s="31">
        <v>22</v>
      </c>
      <c r="K28" t="s">
        <v>332</v>
      </c>
    </row>
    <row r="29" spans="2:19" x14ac:dyDescent="0.2">
      <c r="B29" s="28"/>
      <c r="C29" t="s">
        <v>28</v>
      </c>
      <c r="E29">
        <v>16</v>
      </c>
      <c r="F29" t="s">
        <v>28</v>
      </c>
      <c r="G29" t="s">
        <v>178</v>
      </c>
      <c r="I29" s="31" t="s">
        <v>34</v>
      </c>
      <c r="J29" s="31">
        <v>21</v>
      </c>
      <c r="K29" t="s">
        <v>331</v>
      </c>
      <c r="Q29" s="30"/>
      <c r="R29" s="30"/>
      <c r="S29" s="30"/>
    </row>
    <row r="30" spans="2:19" x14ac:dyDescent="0.2">
      <c r="B30" s="28" t="s">
        <v>237</v>
      </c>
      <c r="E30">
        <v>17</v>
      </c>
      <c r="F30" t="s">
        <v>243</v>
      </c>
      <c r="G30" t="s">
        <v>244</v>
      </c>
      <c r="I30" s="31" t="s">
        <v>34</v>
      </c>
      <c r="J30" s="31">
        <v>8</v>
      </c>
      <c r="K30" t="s">
        <v>317</v>
      </c>
    </row>
    <row r="31" spans="2:19" x14ac:dyDescent="0.2">
      <c r="B31" s="28"/>
      <c r="C31" t="s">
        <v>200</v>
      </c>
      <c r="E31">
        <v>18</v>
      </c>
      <c r="F31" t="s">
        <v>200</v>
      </c>
      <c r="G31" t="s">
        <v>201</v>
      </c>
      <c r="I31" s="31" t="s">
        <v>34</v>
      </c>
      <c r="J31" s="31">
        <v>26</v>
      </c>
      <c r="K31" t="s">
        <v>337</v>
      </c>
    </row>
    <row r="32" spans="2:19" s="33" customFormat="1" x14ac:dyDescent="0.2">
      <c r="B32" s="36"/>
      <c r="C32" s="33" t="s">
        <v>198</v>
      </c>
      <c r="E32" s="33">
        <v>19</v>
      </c>
      <c r="F32" s="33" t="s">
        <v>198</v>
      </c>
      <c r="G32" s="33" t="s">
        <v>199</v>
      </c>
      <c r="I32" s="32"/>
      <c r="J32" s="32"/>
    </row>
    <row r="33" spans="2:11" x14ac:dyDescent="0.2">
      <c r="B33" s="28" t="s">
        <v>151</v>
      </c>
      <c r="E33">
        <v>20</v>
      </c>
      <c r="F33" t="s">
        <v>151</v>
      </c>
      <c r="G33" t="s">
        <v>249</v>
      </c>
      <c r="I33" s="31" t="s">
        <v>34</v>
      </c>
      <c r="J33" s="31">
        <v>36</v>
      </c>
      <c r="K33" t="s">
        <v>351</v>
      </c>
    </row>
    <row r="34" spans="2:11" x14ac:dyDescent="0.2">
      <c r="B34" s="28" t="s">
        <v>20</v>
      </c>
      <c r="E34">
        <v>21</v>
      </c>
      <c r="F34" t="s">
        <v>252</v>
      </c>
      <c r="G34" t="s">
        <v>253</v>
      </c>
      <c r="I34" s="31" t="s">
        <v>34</v>
      </c>
      <c r="J34" s="31">
        <v>35</v>
      </c>
      <c r="K34" t="s">
        <v>347</v>
      </c>
    </row>
    <row r="35" spans="2:11" x14ac:dyDescent="0.2">
      <c r="B35" s="28" t="s">
        <v>152</v>
      </c>
      <c r="E35">
        <v>22</v>
      </c>
      <c r="F35" t="s">
        <v>188</v>
      </c>
      <c r="G35" t="s">
        <v>187</v>
      </c>
      <c r="I35" s="31" t="s">
        <v>34</v>
      </c>
      <c r="J35" s="31">
        <v>28</v>
      </c>
      <c r="K35" t="s">
        <v>339</v>
      </c>
    </row>
    <row r="36" spans="2:11" x14ac:dyDescent="0.2">
      <c r="B36" s="28" t="s">
        <v>153</v>
      </c>
      <c r="E36">
        <v>23</v>
      </c>
      <c r="F36" t="s">
        <v>215</v>
      </c>
      <c r="G36" t="s">
        <v>216</v>
      </c>
      <c r="I36" s="31" t="s">
        <v>34</v>
      </c>
      <c r="J36" s="31">
        <v>34</v>
      </c>
      <c r="K36" t="s">
        <v>345</v>
      </c>
    </row>
    <row r="37" spans="2:11" x14ac:dyDescent="0.2">
      <c r="B37" s="28" t="s">
        <v>154</v>
      </c>
      <c r="E37">
        <v>24</v>
      </c>
      <c r="F37" t="s">
        <v>18</v>
      </c>
      <c r="G37" t="s">
        <v>210</v>
      </c>
      <c r="I37" s="31" t="s">
        <v>34</v>
      </c>
      <c r="J37" s="31">
        <v>46</v>
      </c>
      <c r="K37" t="s">
        <v>364</v>
      </c>
    </row>
    <row r="38" spans="2:11" x14ac:dyDescent="0.2">
      <c r="B38" s="28" t="s">
        <v>103</v>
      </c>
      <c r="E38">
        <v>25</v>
      </c>
      <c r="F38" t="s">
        <v>194</v>
      </c>
      <c r="G38" t="s">
        <v>193</v>
      </c>
      <c r="I38" s="31" t="s">
        <v>34</v>
      </c>
      <c r="J38" s="31">
        <v>47</v>
      </c>
      <c r="K38" t="s">
        <v>365</v>
      </c>
    </row>
    <row r="39" spans="2:11" x14ac:dyDescent="0.2">
      <c r="B39" s="28"/>
      <c r="I39" s="31"/>
      <c r="J39" s="31"/>
    </row>
    <row r="40" spans="2:11" x14ac:dyDescent="0.2">
      <c r="B40" s="29" t="s">
        <v>155</v>
      </c>
      <c r="I40" s="31"/>
      <c r="J40" s="31"/>
    </row>
    <row r="41" spans="2:11" x14ac:dyDescent="0.2">
      <c r="B41" s="28" t="s">
        <v>156</v>
      </c>
      <c r="E41">
        <v>26</v>
      </c>
      <c r="F41" t="s">
        <v>156</v>
      </c>
      <c r="G41" t="s">
        <v>183</v>
      </c>
      <c r="I41" s="31" t="s">
        <v>34</v>
      </c>
      <c r="J41" s="31">
        <v>23</v>
      </c>
      <c r="K41" t="s">
        <v>334</v>
      </c>
    </row>
    <row r="42" spans="2:11" x14ac:dyDescent="0.2">
      <c r="B42" s="38" t="s">
        <v>157</v>
      </c>
      <c r="E42">
        <v>27</v>
      </c>
      <c r="F42" t="s">
        <v>157</v>
      </c>
      <c r="G42" t="s">
        <v>214</v>
      </c>
      <c r="I42" s="31" t="s">
        <v>34</v>
      </c>
      <c r="J42" s="31">
        <v>4</v>
      </c>
      <c r="K42" t="s">
        <v>258</v>
      </c>
    </row>
    <row r="43" spans="2:11" x14ac:dyDescent="0.2">
      <c r="B43" s="28" t="s">
        <v>158</v>
      </c>
      <c r="E43">
        <v>28</v>
      </c>
      <c r="F43" t="s">
        <v>250</v>
      </c>
      <c r="G43" t="s">
        <v>251</v>
      </c>
      <c r="I43" s="31" t="s">
        <v>34</v>
      </c>
      <c r="J43" s="31">
        <v>39</v>
      </c>
      <c r="K43" t="s">
        <v>355</v>
      </c>
    </row>
    <row r="44" spans="2:11" x14ac:dyDescent="0.2">
      <c r="B44" s="28" t="s">
        <v>41</v>
      </c>
      <c r="E44">
        <v>29</v>
      </c>
      <c r="F44" t="s">
        <v>41</v>
      </c>
      <c r="G44" t="s">
        <v>211</v>
      </c>
      <c r="I44" s="31" t="s">
        <v>34</v>
      </c>
      <c r="J44" s="31">
        <v>10</v>
      </c>
      <c r="K44" t="s">
        <v>319</v>
      </c>
    </row>
    <row r="45" spans="2:11" s="33" customFormat="1" x14ac:dyDescent="0.2">
      <c r="B45" s="36" t="s">
        <v>42</v>
      </c>
      <c r="E45" s="33">
        <v>30</v>
      </c>
      <c r="F45" s="33" t="s">
        <v>42</v>
      </c>
      <c r="G45" s="33" t="s">
        <v>197</v>
      </c>
      <c r="I45" s="32"/>
      <c r="J45" s="32"/>
    </row>
    <row r="46" spans="2:11" x14ac:dyDescent="0.2">
      <c r="B46" s="28" t="s">
        <v>159</v>
      </c>
      <c r="E46">
        <v>31</v>
      </c>
      <c r="F46" t="s">
        <v>159</v>
      </c>
      <c r="G46" t="s">
        <v>196</v>
      </c>
      <c r="I46" s="31" t="s">
        <v>34</v>
      </c>
      <c r="J46" s="31">
        <v>11</v>
      </c>
      <c r="K46" t="s">
        <v>320</v>
      </c>
    </row>
    <row r="47" spans="2:11" x14ac:dyDescent="0.2">
      <c r="B47" s="28" t="s">
        <v>160</v>
      </c>
      <c r="E47">
        <v>32</v>
      </c>
      <c r="F47" t="s">
        <v>160</v>
      </c>
      <c r="G47" t="s">
        <v>212</v>
      </c>
      <c r="I47" s="31" t="s">
        <v>34</v>
      </c>
      <c r="J47" s="31">
        <v>40</v>
      </c>
      <c r="K47" t="s">
        <v>356</v>
      </c>
    </row>
    <row r="48" spans="2:11" x14ac:dyDescent="0.2">
      <c r="B48" s="28" t="s">
        <v>161</v>
      </c>
      <c r="E48">
        <v>33</v>
      </c>
      <c r="F48" t="s">
        <v>12</v>
      </c>
      <c r="G48" t="s">
        <v>213</v>
      </c>
      <c r="I48" s="31" t="s">
        <v>34</v>
      </c>
      <c r="J48" s="31">
        <v>13</v>
      </c>
      <c r="K48" t="s">
        <v>322</v>
      </c>
    </row>
    <row r="49" spans="2:11" x14ac:dyDescent="0.2">
      <c r="B49" s="28"/>
      <c r="I49" s="31"/>
      <c r="J49" s="31"/>
    </row>
    <row r="50" spans="2:11" x14ac:dyDescent="0.2">
      <c r="B50" s="29" t="s">
        <v>162</v>
      </c>
      <c r="I50" s="31"/>
      <c r="J50" s="31"/>
    </row>
    <row r="51" spans="2:11" x14ac:dyDescent="0.2">
      <c r="B51" s="28" t="s">
        <v>163</v>
      </c>
      <c r="E51">
        <v>34</v>
      </c>
      <c r="F51" t="s">
        <v>206</v>
      </c>
      <c r="G51" t="s">
        <v>207</v>
      </c>
      <c r="I51" s="31" t="s">
        <v>34</v>
      </c>
      <c r="J51" s="31">
        <v>31</v>
      </c>
      <c r="K51" t="s">
        <v>342</v>
      </c>
    </row>
    <row r="52" spans="2:11" x14ac:dyDescent="0.2">
      <c r="B52" s="28" t="s">
        <v>164</v>
      </c>
      <c r="E52">
        <v>35</v>
      </c>
      <c r="F52" t="s">
        <v>202</v>
      </c>
      <c r="G52" t="s">
        <v>203</v>
      </c>
      <c r="I52" s="31" t="s">
        <v>34</v>
      </c>
      <c r="J52" s="31">
        <v>27</v>
      </c>
      <c r="K52" t="s">
        <v>338</v>
      </c>
    </row>
    <row r="53" spans="2:11" x14ac:dyDescent="0.2">
      <c r="B53" s="28" t="s">
        <v>104</v>
      </c>
      <c r="E53">
        <v>36</v>
      </c>
      <c r="F53" t="s">
        <v>104</v>
      </c>
      <c r="G53" t="s">
        <v>238</v>
      </c>
      <c r="I53" s="31" t="s">
        <v>34</v>
      </c>
      <c r="J53" s="31">
        <v>17</v>
      </c>
      <c r="K53" t="s">
        <v>326</v>
      </c>
    </row>
    <row r="54" spans="2:11" x14ac:dyDescent="0.2">
      <c r="B54" s="28" t="s">
        <v>165</v>
      </c>
      <c r="E54">
        <v>37</v>
      </c>
      <c r="F54" t="s">
        <v>226</v>
      </c>
      <c r="G54" t="s">
        <v>227</v>
      </c>
      <c r="I54" s="31" t="s">
        <v>34</v>
      </c>
      <c r="J54" s="31">
        <v>12</v>
      </c>
      <c r="K54" t="s">
        <v>321</v>
      </c>
    </row>
    <row r="55" spans="2:11" x14ac:dyDescent="0.2">
      <c r="B55" s="28" t="s">
        <v>11</v>
      </c>
      <c r="E55">
        <v>38</v>
      </c>
      <c r="F55" t="s">
        <v>11</v>
      </c>
      <c r="G55" t="s">
        <v>242</v>
      </c>
      <c r="I55" s="31" t="s">
        <v>34</v>
      </c>
      <c r="J55" s="31">
        <v>6</v>
      </c>
      <c r="K55" t="s">
        <v>315</v>
      </c>
    </row>
    <row r="56" spans="2:11" x14ac:dyDescent="0.2">
      <c r="B56" s="28" t="s">
        <v>166</v>
      </c>
      <c r="E56">
        <v>39</v>
      </c>
      <c r="F56" t="s">
        <v>25</v>
      </c>
      <c r="G56" t="s">
        <v>246</v>
      </c>
      <c r="I56" s="31" t="s">
        <v>34</v>
      </c>
      <c r="J56" s="31">
        <v>33</v>
      </c>
      <c r="K56" t="s">
        <v>344</v>
      </c>
    </row>
    <row r="57" spans="2:11" x14ac:dyDescent="0.2">
      <c r="B57" s="28" t="s">
        <v>24</v>
      </c>
      <c r="E57">
        <v>40</v>
      </c>
      <c r="F57" t="s">
        <v>24</v>
      </c>
      <c r="G57" t="s">
        <v>218</v>
      </c>
      <c r="I57" s="31" t="s">
        <v>34</v>
      </c>
      <c r="J57" s="31">
        <v>29</v>
      </c>
      <c r="K57" t="s">
        <v>340</v>
      </c>
    </row>
    <row r="58" spans="2:11" s="33" customFormat="1" x14ac:dyDescent="0.2">
      <c r="B58" s="36" t="s">
        <v>167</v>
      </c>
      <c r="E58" s="33">
        <v>41</v>
      </c>
      <c r="F58" s="33" t="s">
        <v>167</v>
      </c>
      <c r="G58" s="33" t="s">
        <v>195</v>
      </c>
      <c r="I58" s="32"/>
      <c r="J58" s="32"/>
    </row>
    <row r="59" spans="2:11" x14ac:dyDescent="0.2">
      <c r="B59" s="28"/>
      <c r="I59" s="31"/>
      <c r="J59" s="31"/>
    </row>
    <row r="60" spans="2:11" x14ac:dyDescent="0.2">
      <c r="B60" s="29" t="s">
        <v>168</v>
      </c>
      <c r="I60" s="31"/>
      <c r="J60" s="31"/>
    </row>
    <row r="61" spans="2:11" x14ac:dyDescent="0.2">
      <c r="B61" s="28" t="s">
        <v>169</v>
      </c>
      <c r="E61">
        <v>42</v>
      </c>
      <c r="F61" t="s">
        <v>221</v>
      </c>
      <c r="G61" t="s">
        <v>222</v>
      </c>
      <c r="I61" s="31" t="s">
        <v>34</v>
      </c>
      <c r="J61" s="31">
        <v>50</v>
      </c>
      <c r="K61" t="s">
        <v>368</v>
      </c>
    </row>
    <row r="62" spans="2:11" x14ac:dyDescent="0.2">
      <c r="B62" s="28" t="s">
        <v>170</v>
      </c>
      <c r="E62">
        <v>43</v>
      </c>
      <c r="F62" t="s">
        <v>223</v>
      </c>
      <c r="G62" t="s">
        <v>224</v>
      </c>
      <c r="I62" s="31" t="s">
        <v>34</v>
      </c>
      <c r="J62" s="31">
        <v>41</v>
      </c>
      <c r="K62" t="s">
        <v>357</v>
      </c>
    </row>
    <row r="63" spans="2:11" x14ac:dyDescent="0.2">
      <c r="B63" s="28" t="s">
        <v>171</v>
      </c>
      <c r="E63">
        <v>44</v>
      </c>
      <c r="F63" t="s">
        <v>177</v>
      </c>
      <c r="G63" t="s">
        <v>176</v>
      </c>
      <c r="I63" s="41" t="s">
        <v>375</v>
      </c>
      <c r="J63" s="39">
        <v>44</v>
      </c>
      <c r="K63" s="40" t="s">
        <v>361</v>
      </c>
    </row>
    <row r="64" spans="2:11" x14ac:dyDescent="0.2">
      <c r="B64" s="28" t="s">
        <v>172</v>
      </c>
      <c r="E64">
        <v>45</v>
      </c>
      <c r="F64" t="s">
        <v>179</v>
      </c>
      <c r="G64" t="s">
        <v>180</v>
      </c>
      <c r="I64" s="41"/>
      <c r="J64" s="39"/>
      <c r="K64" s="40"/>
    </row>
    <row r="65" spans="2:11" x14ac:dyDescent="0.2">
      <c r="B65" s="28" t="s">
        <v>173</v>
      </c>
      <c r="E65">
        <v>46</v>
      </c>
      <c r="F65" t="s">
        <v>219</v>
      </c>
      <c r="G65" t="s">
        <v>220</v>
      </c>
      <c r="I65" s="41" t="s">
        <v>375</v>
      </c>
      <c r="J65" s="39">
        <v>48</v>
      </c>
      <c r="K65" s="40" t="s">
        <v>366</v>
      </c>
    </row>
    <row r="66" spans="2:11" x14ac:dyDescent="0.2">
      <c r="B66" s="28" t="s">
        <v>174</v>
      </c>
      <c r="E66">
        <v>47</v>
      </c>
      <c r="F66" t="s">
        <v>182</v>
      </c>
      <c r="G66" t="s">
        <v>181</v>
      </c>
      <c r="I66" s="41"/>
      <c r="J66" s="39"/>
      <c r="K66" s="40"/>
    </row>
    <row r="67" spans="2:11" x14ac:dyDescent="0.2">
      <c r="B67" s="28" t="s">
        <v>17</v>
      </c>
      <c r="E67">
        <v>48</v>
      </c>
      <c r="F67" t="s">
        <v>17</v>
      </c>
      <c r="G67" t="s">
        <v>225</v>
      </c>
      <c r="I67" s="31" t="s">
        <v>34</v>
      </c>
      <c r="J67" s="31">
        <v>49</v>
      </c>
      <c r="K67" t="s">
        <v>367</v>
      </c>
    </row>
    <row r="68" spans="2:11" x14ac:dyDescent="0.2">
      <c r="B68" s="28" t="s">
        <v>175</v>
      </c>
      <c r="E68">
        <v>49</v>
      </c>
      <c r="F68" t="s">
        <v>186</v>
      </c>
      <c r="G68" t="s">
        <v>185</v>
      </c>
      <c r="I68" s="31" t="s">
        <v>34</v>
      </c>
      <c r="J68" s="31">
        <v>54</v>
      </c>
      <c r="K68" t="s">
        <v>98</v>
      </c>
    </row>
    <row r="72" spans="2:11" x14ac:dyDescent="0.2">
      <c r="K72" s="34" t="s">
        <v>108</v>
      </c>
    </row>
    <row r="73" spans="2:11" x14ac:dyDescent="0.2">
      <c r="I73" s="34" t="s">
        <v>87</v>
      </c>
      <c r="J73" s="34">
        <v>1</v>
      </c>
      <c r="K73" s="34" t="s">
        <v>313</v>
      </c>
    </row>
    <row r="74" spans="2:11" x14ac:dyDescent="0.2">
      <c r="I74" s="34" t="s">
        <v>91</v>
      </c>
      <c r="J74" s="34">
        <v>5</v>
      </c>
      <c r="K74" s="34" t="s">
        <v>314</v>
      </c>
    </row>
    <row r="75" spans="2:11" x14ac:dyDescent="0.2">
      <c r="I75" s="34" t="s">
        <v>139</v>
      </c>
      <c r="J75" s="34">
        <v>7</v>
      </c>
      <c r="K75" s="34" t="s">
        <v>316</v>
      </c>
    </row>
    <row r="76" spans="2:11" x14ac:dyDescent="0.2">
      <c r="I76" s="34" t="s">
        <v>350</v>
      </c>
      <c r="J76" s="34">
        <v>16</v>
      </c>
      <c r="K76" s="34" t="s">
        <v>325</v>
      </c>
    </row>
    <row r="77" spans="2:11" x14ac:dyDescent="0.2">
      <c r="I77" s="34" t="s">
        <v>92</v>
      </c>
      <c r="J77" s="34">
        <v>18</v>
      </c>
      <c r="K77" s="34" t="s">
        <v>327</v>
      </c>
    </row>
    <row r="78" spans="2:11" x14ac:dyDescent="0.2">
      <c r="I78" s="34" t="s">
        <v>96</v>
      </c>
      <c r="J78" s="34">
        <v>24</v>
      </c>
      <c r="K78" s="34" t="s">
        <v>335</v>
      </c>
    </row>
    <row r="79" spans="2:11" x14ac:dyDescent="0.2">
      <c r="I79" s="34" t="s">
        <v>349</v>
      </c>
      <c r="J79" s="34">
        <v>25</v>
      </c>
      <c r="K79" s="34" t="s">
        <v>336</v>
      </c>
    </row>
    <row r="80" spans="2:11" x14ac:dyDescent="0.2">
      <c r="I80" s="34" t="s">
        <v>348</v>
      </c>
      <c r="J80" s="34">
        <v>30</v>
      </c>
      <c r="K80" s="34" t="s">
        <v>341</v>
      </c>
    </row>
    <row r="81" spans="9:11" x14ac:dyDescent="0.2">
      <c r="I81" s="34" t="s">
        <v>346</v>
      </c>
      <c r="J81" s="34">
        <v>32</v>
      </c>
      <c r="K81" s="34" t="s">
        <v>343</v>
      </c>
    </row>
    <row r="82" spans="9:11" x14ac:dyDescent="0.2">
      <c r="I82" s="34" t="s">
        <v>353</v>
      </c>
      <c r="J82" s="34">
        <v>37</v>
      </c>
      <c r="K82" s="34" t="s">
        <v>352</v>
      </c>
    </row>
    <row r="83" spans="9:11" x14ac:dyDescent="0.2">
      <c r="I83" s="34" t="s">
        <v>358</v>
      </c>
      <c r="J83" s="34">
        <v>42</v>
      </c>
      <c r="K83" s="34" t="s">
        <v>359</v>
      </c>
    </row>
    <row r="84" spans="9:11" x14ac:dyDescent="0.2">
      <c r="I84" s="34" t="s">
        <v>363</v>
      </c>
      <c r="J84" s="34">
        <v>45</v>
      </c>
      <c r="K84" s="34" t="s">
        <v>362</v>
      </c>
    </row>
    <row r="85" spans="9:11" x14ac:dyDescent="0.2">
      <c r="I85" s="34" t="s">
        <v>370</v>
      </c>
      <c r="J85" s="34">
        <v>51</v>
      </c>
      <c r="K85" s="34" t="s">
        <v>369</v>
      </c>
    </row>
    <row r="86" spans="9:11" x14ac:dyDescent="0.2">
      <c r="I86" s="34" t="s">
        <v>372</v>
      </c>
      <c r="J86" s="34">
        <v>53</v>
      </c>
      <c r="K86" s="34" t="s">
        <v>371</v>
      </c>
    </row>
  </sheetData>
  <mergeCells count="6">
    <mergeCell ref="J63:J64"/>
    <mergeCell ref="K63:K64"/>
    <mergeCell ref="I63:I64"/>
    <mergeCell ref="I65:I66"/>
    <mergeCell ref="J65:J66"/>
    <mergeCell ref="K65:K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Azérad</dc:creator>
  <cp:lastModifiedBy>Maxime Blanloeil</cp:lastModifiedBy>
  <dcterms:created xsi:type="dcterms:W3CDTF">2025-07-10T13:57:11Z</dcterms:created>
  <dcterms:modified xsi:type="dcterms:W3CDTF">2026-02-24T13:46:29Z</dcterms:modified>
</cp:coreProperties>
</file>